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ynthesissoftware.sharepoint.com/sites/HumanCapitalCFD/Shared Documents/Synthesis/Reports/People Data/Employee Lists/"/>
    </mc:Choice>
  </mc:AlternateContent>
  <xr:revisionPtr revIDLastSave="79" documentId="11_5DECE282883F3E755F8B961ABEB77FCAA4172C1D" xr6:coauthVersionLast="47" xr6:coauthVersionMax="47" xr10:uidLastSave="{83080084-E1C0-4173-8B8D-56CEB3D0089A}"/>
  <bookViews>
    <workbookView xWindow="2500" yWindow="660" windowWidth="27740" windowHeight="17400" xr2:uid="{00000000-000D-0000-FFFF-FFFF00000000}"/>
  </bookViews>
  <sheets>
    <sheet name="Sheet1" sheetId="2" r:id="rId1"/>
    <sheet name="Sheet" sheetId="1" r:id="rId2"/>
  </sheets>
  <definedNames>
    <definedName name="_xlnm._FilterDatabase" localSheetId="0" hidden="1">Sheet1!$A$1:$K$193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2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5" i="2"/>
  <c r="J3" i="2"/>
  <c r="J4" i="2"/>
  <c r="J2" i="2"/>
</calcChain>
</file>

<file path=xl/sharedStrings.xml><?xml version="1.0" encoding="utf-8"?>
<sst xmlns="http://schemas.openxmlformats.org/spreadsheetml/2006/main" count="2102" uniqueCount="1071">
  <si>
    <t>Date Engaged</t>
  </si>
  <si>
    <t>Employee Code</t>
  </si>
  <si>
    <t>First Name</t>
  </si>
  <si>
    <t>Last Name</t>
  </si>
  <si>
    <t>DEPARTMENT - Department</t>
  </si>
  <si>
    <t>Job Title</t>
  </si>
  <si>
    <t>Racial Group</t>
  </si>
  <si>
    <t>Gender</t>
  </si>
  <si>
    <t>OL - Operating Level</t>
  </si>
  <si>
    <t>Email Address</t>
  </si>
  <si>
    <t>Cell Number</t>
  </si>
  <si>
    <t>Michael</t>
  </si>
  <si>
    <t>Shapiro</t>
  </si>
  <si>
    <t>EXECUTIVE - Executive</t>
  </si>
  <si>
    <t>MD - Managing Director</t>
  </si>
  <si>
    <t>W - White</t>
  </si>
  <si>
    <t>M - Male</t>
  </si>
  <si>
    <t>DIR - Director</t>
  </si>
  <si>
    <t>Naseem</t>
  </si>
  <si>
    <t>Ahmed</t>
  </si>
  <si>
    <t>CLD - Cloud</t>
  </si>
  <si>
    <t>CPEL - Cloud PL</t>
  </si>
  <si>
    <t>I - Indian</t>
  </si>
  <si>
    <t>PRINCIPAL - Principal</t>
  </si>
  <si>
    <t>Steyn</t>
  </si>
  <si>
    <t>Basson</t>
  </si>
  <si>
    <t>SSECD - Shared Services Executive &amp; Company</t>
  </si>
  <si>
    <t>AA01</t>
  </si>
  <si>
    <t>Archana</t>
  </si>
  <si>
    <t>Arakkal</t>
  </si>
  <si>
    <t>TEC - Technology</t>
  </si>
  <si>
    <t>LRE - Lead Research Engineer</t>
  </si>
  <si>
    <t>F - Female</t>
  </si>
  <si>
    <t>SPECIALIST - Specialist</t>
  </si>
  <si>
    <t>AC02</t>
  </si>
  <si>
    <t>Angela</t>
  </si>
  <si>
    <t>Church</t>
  </si>
  <si>
    <t>001 - Business Enablement Operations</t>
  </si>
  <si>
    <t>OM - Office Manager</t>
  </si>
  <si>
    <t>INTERMEDIATE - Intermediate</t>
  </si>
  <si>
    <t>AH01</t>
  </si>
  <si>
    <t>Arielle</t>
  </si>
  <si>
    <t>Horwitz</t>
  </si>
  <si>
    <t>HAL - Halo</t>
  </si>
  <si>
    <t>EM - Engineering Manager</t>
  </si>
  <si>
    <t>AL03</t>
  </si>
  <si>
    <t>Athini</t>
  </si>
  <si>
    <t>Ludidi</t>
  </si>
  <si>
    <t>MAN - Managed Operations</t>
  </si>
  <si>
    <t>SE03 - Senior Support Engineer</t>
  </si>
  <si>
    <t>A - African</t>
  </si>
  <si>
    <t>SENIOR - Senior</t>
  </si>
  <si>
    <t>AS02</t>
  </si>
  <si>
    <t>Arno</t>
  </si>
  <si>
    <t>Strydom</t>
  </si>
  <si>
    <t>REGT - RegTech</t>
  </si>
  <si>
    <t>FINTL - Finsurv Team Lead</t>
  </si>
  <si>
    <t>BS02</t>
  </si>
  <si>
    <t>Bhavesh</t>
  </si>
  <si>
    <t>Sooka</t>
  </si>
  <si>
    <t>ID - Intelligent Data</t>
  </si>
  <si>
    <t>SD - Software Dev</t>
  </si>
  <si>
    <t>CD01</t>
  </si>
  <si>
    <t>Claire</t>
  </si>
  <si>
    <t>Dann</t>
  </si>
  <si>
    <t>LFOM - Lead Facilities and Office Manag</t>
  </si>
  <si>
    <t>CE01</t>
  </si>
  <si>
    <t>Chad</t>
  </si>
  <si>
    <t>Epstein</t>
  </si>
  <si>
    <t>CPML - Cloud PL Migrat</t>
  </si>
  <si>
    <t>CF01</t>
  </si>
  <si>
    <t>Craig</t>
  </si>
  <si>
    <t>Fuchs</t>
  </si>
  <si>
    <t>COD - Code</t>
  </si>
  <si>
    <t>SP - Solutionist Principal</t>
  </si>
  <si>
    <t>CG01</t>
  </si>
  <si>
    <t xml:space="preserve">Carly </t>
  </si>
  <si>
    <t>Garmany</t>
  </si>
  <si>
    <t>PMO - Project Management Office</t>
  </si>
  <si>
    <t>PMOO - PMO Operations Officer</t>
  </si>
  <si>
    <t>CM01</t>
  </si>
  <si>
    <t>Cleorese</t>
  </si>
  <si>
    <t>Manes</t>
  </si>
  <si>
    <t>CE - Cloud Engineer</t>
  </si>
  <si>
    <t>C - Coloured</t>
  </si>
  <si>
    <t>DB02</t>
  </si>
  <si>
    <t>Darren</t>
  </si>
  <si>
    <t>Bak</t>
  </si>
  <si>
    <t>HOBD - Head of Intelligent Data</t>
  </si>
  <si>
    <t>BU_HEAD - Business Unit Head</t>
  </si>
  <si>
    <t>DD01</t>
  </si>
  <si>
    <t>Debbie</t>
  </si>
  <si>
    <t>de Swardt</t>
  </si>
  <si>
    <t>PAYMENTS - Payments</t>
  </si>
  <si>
    <t>PC03 - Senior Payments Consultant</t>
  </si>
  <si>
    <t>DF01</t>
  </si>
  <si>
    <t>Declan</t>
  </si>
  <si>
    <t>FitzPatrick</t>
  </si>
  <si>
    <t>SM - Senior Manager</t>
  </si>
  <si>
    <t>DK01</t>
  </si>
  <si>
    <t>Duncan</t>
  </si>
  <si>
    <t>Kubayi</t>
  </si>
  <si>
    <t>DE - Data Engineer</t>
  </si>
  <si>
    <t>DM01</t>
  </si>
  <si>
    <t>Dean</t>
  </si>
  <si>
    <t>Maier</t>
  </si>
  <si>
    <t>HCS - Head: Cloud</t>
  </si>
  <si>
    <t>DM03</t>
  </si>
  <si>
    <t>Damien</t>
  </si>
  <si>
    <t>T07 - Technical Lead</t>
  </si>
  <si>
    <t>DN01</t>
  </si>
  <si>
    <t>Devina</t>
  </si>
  <si>
    <t>Naidoo</t>
  </si>
  <si>
    <t>003 - Sales</t>
  </si>
  <si>
    <t>SAM - Strategic Account Manager</t>
  </si>
  <si>
    <t>DV04</t>
  </si>
  <si>
    <t>Denieke</t>
  </si>
  <si>
    <t>Van Niekerk</t>
  </si>
  <si>
    <t>LPE - Lead Product Engineer</t>
  </si>
  <si>
    <t>EE01</t>
  </si>
  <si>
    <t>Ernst</t>
  </si>
  <si>
    <t>Eksteen</t>
  </si>
  <si>
    <t>SSE - Senior Software Engineer</t>
  </si>
  <si>
    <t>ER001</t>
  </si>
  <si>
    <t>Rodney</t>
  </si>
  <si>
    <t>Ellis</t>
  </si>
  <si>
    <t>FB001</t>
  </si>
  <si>
    <t>Francois</t>
  </si>
  <si>
    <t>Botha</t>
  </si>
  <si>
    <t>GC01</t>
  </si>
  <si>
    <t>Gareth</t>
  </si>
  <si>
    <t>Corbishley</t>
  </si>
  <si>
    <t>MDH - Managing Director of Halo</t>
  </si>
  <si>
    <t>GS02</t>
  </si>
  <si>
    <t>Garth</t>
  </si>
  <si>
    <t>Smith</t>
  </si>
  <si>
    <t>HM01</t>
  </si>
  <si>
    <t>Harsha</t>
  </si>
  <si>
    <t>Maloo</t>
  </si>
  <si>
    <t>HPCE - Head of Payments Centre of Exellenc</t>
  </si>
  <si>
    <t>HS04</t>
  </si>
  <si>
    <t>Harshil</t>
  </si>
  <si>
    <t>Sheganlall</t>
  </si>
  <si>
    <t>PE02 - Intermediate Product Engineer</t>
  </si>
  <si>
    <t>JB05</t>
  </si>
  <si>
    <t>Jessica-May</t>
  </si>
  <si>
    <t>Bergh</t>
  </si>
  <si>
    <t>SPM - Senior Project Manager</t>
  </si>
  <si>
    <t>JE01</t>
  </si>
  <si>
    <t>James</t>
  </si>
  <si>
    <t>Eckhardt</t>
  </si>
  <si>
    <t>CRY - Cryptography</t>
  </si>
  <si>
    <t>OTEL - Operations Technical Lead</t>
  </si>
  <si>
    <t>JH01</t>
  </si>
  <si>
    <t>Jayden</t>
  </si>
  <si>
    <t>Hardman</t>
  </si>
  <si>
    <t>ISE - Intermediate Software Engineer</t>
  </si>
  <si>
    <t>JJ01</t>
  </si>
  <si>
    <t>Jonathan</t>
  </si>
  <si>
    <t>Jacobs</t>
  </si>
  <si>
    <t>HPO - Head of Product and Operations</t>
  </si>
  <si>
    <t>PQM - Professionally Qualified Middle Mng</t>
  </si>
  <si>
    <t>JL01</t>
  </si>
  <si>
    <t>Lew</t>
  </si>
  <si>
    <t>JN01</t>
  </si>
  <si>
    <t>Jared</t>
  </si>
  <si>
    <t>Naude</t>
  </si>
  <si>
    <t>HSS - Head of Security</t>
  </si>
  <si>
    <t>JO001</t>
  </si>
  <si>
    <t>Johan</t>
  </si>
  <si>
    <t>O'Connell</t>
  </si>
  <si>
    <t>JS01</t>
  </si>
  <si>
    <t>Sidney</t>
  </si>
  <si>
    <t>JS02</t>
  </si>
  <si>
    <t>Jordan</t>
  </si>
  <si>
    <t>TECH - Tech Lead</t>
  </si>
  <si>
    <t>JV01</t>
  </si>
  <si>
    <t>Jeanette</t>
  </si>
  <si>
    <t>Fevrier</t>
  </si>
  <si>
    <t>SPEC - Specialist</t>
  </si>
  <si>
    <t>KE01</t>
  </si>
  <si>
    <t>Kieron</t>
  </si>
  <si>
    <t>Ekron</t>
  </si>
  <si>
    <t>LAD - Lead Applied Engineer</t>
  </si>
  <si>
    <t>KF02</t>
  </si>
  <si>
    <t>Kyle</t>
  </si>
  <si>
    <t>Fleming</t>
  </si>
  <si>
    <t>KK01</t>
  </si>
  <si>
    <t>Konrad</t>
  </si>
  <si>
    <t>Kolbe</t>
  </si>
  <si>
    <t>KM05</t>
  </si>
  <si>
    <t>Kudzai</t>
  </si>
  <si>
    <t>Muranga</t>
  </si>
  <si>
    <t>KM07</t>
  </si>
  <si>
    <t>Kovishnee</t>
  </si>
  <si>
    <t>Moodley</t>
  </si>
  <si>
    <t>KS06</t>
  </si>
  <si>
    <t>Kgomotso</t>
  </si>
  <si>
    <t>Sito</t>
  </si>
  <si>
    <t>SE - Software Engineer</t>
  </si>
  <si>
    <t>LH02</t>
  </si>
  <si>
    <t>Luke</t>
  </si>
  <si>
    <t>Holmwood</t>
  </si>
  <si>
    <t>LM02</t>
  </si>
  <si>
    <t>Lesego</t>
  </si>
  <si>
    <t>Mabe</t>
  </si>
  <si>
    <t>LM03</t>
  </si>
  <si>
    <t>Ntombifuthi</t>
  </si>
  <si>
    <t>Mkhosi</t>
  </si>
  <si>
    <t>OC - Office Support</t>
  </si>
  <si>
    <t>SS - Semi-skilled defined decision</t>
  </si>
  <si>
    <t>LR02</t>
  </si>
  <si>
    <t>Leandre</t>
  </si>
  <si>
    <t>Roux</t>
  </si>
  <si>
    <t>WARL - WAR Lead</t>
  </si>
  <si>
    <t>LS20</t>
  </si>
  <si>
    <t>Louis-Philip</t>
  </si>
  <si>
    <t>Shahim</t>
  </si>
  <si>
    <t>GCPL - Google Cloud Practice Lead</t>
  </si>
  <si>
    <t>MB01</t>
  </si>
  <si>
    <t>Marinda</t>
  </si>
  <si>
    <t>Rossouw</t>
  </si>
  <si>
    <t>PE03 - Senior Product Engineer</t>
  </si>
  <si>
    <t>MC03</t>
  </si>
  <si>
    <t>Matthew</t>
  </si>
  <si>
    <t>Crockett</t>
  </si>
  <si>
    <t>HDG - Head: Digital</t>
  </si>
  <si>
    <t>ME02</t>
  </si>
  <si>
    <t>Michelle</t>
  </si>
  <si>
    <t>Esbend</t>
  </si>
  <si>
    <t>002 - Finance</t>
  </si>
  <si>
    <t>FECD - Finance Executive &amp; Company Directo</t>
  </si>
  <si>
    <t>MG04</t>
  </si>
  <si>
    <t>Grant</t>
  </si>
  <si>
    <t>PDE - Product Development Executive</t>
  </si>
  <si>
    <t>MK02</t>
  </si>
  <si>
    <t>Manthan</t>
  </si>
  <si>
    <t>Kuwadia</t>
  </si>
  <si>
    <t>ACA - Accounts Assist</t>
  </si>
  <si>
    <t>ASSOCIATE - Associate</t>
  </si>
  <si>
    <t>MK03</t>
  </si>
  <si>
    <t>Melissa</t>
  </si>
  <si>
    <t>Kramer</t>
  </si>
  <si>
    <t>PMM - Product Marketing Manager</t>
  </si>
  <si>
    <t>ML01</t>
  </si>
  <si>
    <t>Miguel</t>
  </si>
  <si>
    <t>Laranjeira</t>
  </si>
  <si>
    <t>MM01</t>
  </si>
  <si>
    <t>Mark</t>
  </si>
  <si>
    <t>McNaughton</t>
  </si>
  <si>
    <t>SDOE - Snr DevOps Engineer</t>
  </si>
  <si>
    <t>MN01</t>
  </si>
  <si>
    <t>Charles</t>
  </si>
  <si>
    <t>Neethling</t>
  </si>
  <si>
    <t>PI - Product Incubation</t>
  </si>
  <si>
    <t>HPI - Head: Product Incubation</t>
  </si>
  <si>
    <t>MN02</t>
  </si>
  <si>
    <t>Mantombi</t>
  </si>
  <si>
    <t>Ngwenya</t>
  </si>
  <si>
    <t>FM - Financial Manager</t>
  </si>
  <si>
    <t>MP07</t>
  </si>
  <si>
    <t>Phoya</t>
  </si>
  <si>
    <t>SE02 - Intermediate Support Engineer</t>
  </si>
  <si>
    <t>MS003</t>
  </si>
  <si>
    <t>Mavis</t>
  </si>
  <si>
    <t>Sibisi</t>
  </si>
  <si>
    <t>MS04</t>
  </si>
  <si>
    <t>Martin</t>
  </si>
  <si>
    <t>Streicher</t>
  </si>
  <si>
    <t>SSD - Snr SoftwareDev</t>
  </si>
  <si>
    <t>MS06</t>
  </si>
  <si>
    <t>Muhiya</t>
  </si>
  <si>
    <t>Sumba</t>
  </si>
  <si>
    <t>MV01</t>
  </si>
  <si>
    <t>Mohammed</t>
  </si>
  <si>
    <t>Vally</t>
  </si>
  <si>
    <t>MW001</t>
  </si>
  <si>
    <t>Marcin</t>
  </si>
  <si>
    <t>Wójcik</t>
  </si>
  <si>
    <t>ND01</t>
  </si>
  <si>
    <t>Nicholas</t>
  </si>
  <si>
    <t>Driver</t>
  </si>
  <si>
    <t>NW003</t>
  </si>
  <si>
    <t>Nigel</t>
  </si>
  <si>
    <t>Walker</t>
  </si>
  <si>
    <t>PME - Principal ML Engineer</t>
  </si>
  <si>
    <t>PN01</t>
  </si>
  <si>
    <t>Preshalin</t>
  </si>
  <si>
    <t>QV01</t>
  </si>
  <si>
    <t>Perfect</t>
  </si>
  <si>
    <t>Vumisa</t>
  </si>
  <si>
    <t>SOE02 - Intermediate SecOps Engineer</t>
  </si>
  <si>
    <t>RD01</t>
  </si>
  <si>
    <t>Ricardo</t>
  </si>
  <si>
    <t>De Carvalho</t>
  </si>
  <si>
    <t>RD05</t>
  </si>
  <si>
    <t>Rolf</t>
  </si>
  <si>
    <t>Deppe</t>
  </si>
  <si>
    <t>RD06</t>
  </si>
  <si>
    <t>Ruben</t>
  </si>
  <si>
    <t>De Beer</t>
  </si>
  <si>
    <t>RF01</t>
  </si>
  <si>
    <t>Rui</t>
  </si>
  <si>
    <t>Felix</t>
  </si>
  <si>
    <t>RH02</t>
  </si>
  <si>
    <t>Ryan</t>
  </si>
  <si>
    <t>Harris</t>
  </si>
  <si>
    <t>RK10</t>
  </si>
  <si>
    <t>Raees</t>
  </si>
  <si>
    <t>Kamaar</t>
  </si>
  <si>
    <t>SE01 - Associate Support Engineer</t>
  </si>
  <si>
    <t>RM03</t>
  </si>
  <si>
    <t>Ronnie</t>
  </si>
  <si>
    <t>Mokoena</t>
  </si>
  <si>
    <t>RR01</t>
  </si>
  <si>
    <t>RG</t>
  </si>
  <si>
    <t>Ross</t>
  </si>
  <si>
    <t>PTP - Principal Technical Presales</t>
  </si>
  <si>
    <t>SA01</t>
  </si>
  <si>
    <t>Sharon</t>
  </si>
  <si>
    <t>Andrews</t>
  </si>
  <si>
    <t>010 - Human Resources</t>
  </si>
  <si>
    <t>HC - Human Capital Manager</t>
  </si>
  <si>
    <t>SB01</t>
  </si>
  <si>
    <t>Saskia</t>
  </si>
  <si>
    <t>Bester</t>
  </si>
  <si>
    <t>PTL - Project Team Lead</t>
  </si>
  <si>
    <t>SJ01</t>
  </si>
  <si>
    <t>Sibabalwe</t>
  </si>
  <si>
    <t>Jikani</t>
  </si>
  <si>
    <t>SST000401</t>
  </si>
  <si>
    <t>Douglas</t>
  </si>
  <si>
    <t>Geddes</t>
  </si>
  <si>
    <t>SOE03 - Senior SecOps Engineer</t>
  </si>
  <si>
    <t>SST000402</t>
  </si>
  <si>
    <t>Himesh</t>
  </si>
  <si>
    <t>Deva</t>
  </si>
  <si>
    <t>IIL - Internal IT Lead</t>
  </si>
  <si>
    <t>SST000409</t>
  </si>
  <si>
    <t>Daniel</t>
  </si>
  <si>
    <t>Schurbohm</t>
  </si>
  <si>
    <t>SST000411</t>
  </si>
  <si>
    <t>Dino</t>
  </si>
  <si>
    <t>Areias</t>
  </si>
  <si>
    <t>MTL - Markets Team Lead</t>
  </si>
  <si>
    <t>SST000412</t>
  </si>
  <si>
    <t>Enoch</t>
  </si>
  <si>
    <t>Chandayengerwa</t>
  </si>
  <si>
    <t>SST000413</t>
  </si>
  <si>
    <t>Fikani</t>
  </si>
  <si>
    <t>Nghondzweni</t>
  </si>
  <si>
    <t>SST000417</t>
  </si>
  <si>
    <t>Humaira</t>
  </si>
  <si>
    <t>SST000418</t>
  </si>
  <si>
    <t>Jason</t>
  </si>
  <si>
    <t>Mervis</t>
  </si>
  <si>
    <t>SST000419</t>
  </si>
  <si>
    <t>Joshua</t>
  </si>
  <si>
    <t>Warneke</t>
  </si>
  <si>
    <t>SST000423</t>
  </si>
  <si>
    <t>Kgotso</t>
  </si>
  <si>
    <t>Phiri</t>
  </si>
  <si>
    <t>SST000424</t>
  </si>
  <si>
    <t>Louis</t>
  </si>
  <si>
    <t>Mosotho</t>
  </si>
  <si>
    <t>ACE - Associate Cryptography Engineer</t>
  </si>
  <si>
    <t>SST000432</t>
  </si>
  <si>
    <t>Pfunzo</t>
  </si>
  <si>
    <t>Ratshikuni</t>
  </si>
  <si>
    <t>SST000435</t>
  </si>
  <si>
    <t>Sharika</t>
  </si>
  <si>
    <t>Kanti Narsing</t>
  </si>
  <si>
    <t>SST000437</t>
  </si>
  <si>
    <t>Shrey</t>
  </si>
  <si>
    <t>Mandalia</t>
  </si>
  <si>
    <t>SST000441</t>
  </si>
  <si>
    <t>Siyabonga</t>
  </si>
  <si>
    <t>Mathebula</t>
  </si>
  <si>
    <t>SST000443</t>
  </si>
  <si>
    <t>Steve</t>
  </si>
  <si>
    <t>Mbuguje</t>
  </si>
  <si>
    <t>SST000444</t>
  </si>
  <si>
    <t>Suvarna</t>
  </si>
  <si>
    <t>Sharma</t>
  </si>
  <si>
    <t>SST000447</t>
  </si>
  <si>
    <t>Thabo</t>
  </si>
  <si>
    <t>Ranamane</t>
  </si>
  <si>
    <t>SST000449</t>
  </si>
  <si>
    <t>Tezlin</t>
  </si>
  <si>
    <t>Wilkinson</t>
  </si>
  <si>
    <t>FO - Financial Officer</t>
  </si>
  <si>
    <t>SST000452</t>
  </si>
  <si>
    <t>Andries</t>
  </si>
  <si>
    <t>Steenkamp</t>
  </si>
  <si>
    <t>SST000454</t>
  </si>
  <si>
    <t>Kate</t>
  </si>
  <si>
    <t>Alcock</t>
  </si>
  <si>
    <t>PGD - Product and Graphic Designer</t>
  </si>
  <si>
    <t>SST000458</t>
  </si>
  <si>
    <t>Tashia</t>
  </si>
  <si>
    <t>Hillebrand</t>
  </si>
  <si>
    <t>SST000462</t>
  </si>
  <si>
    <t>Vincent</t>
  </si>
  <si>
    <t>Varkevisser</t>
  </si>
  <si>
    <t>SST000467</t>
  </si>
  <si>
    <t>Jarryd</t>
  </si>
  <si>
    <t>Deane</t>
  </si>
  <si>
    <t>SST000471</t>
  </si>
  <si>
    <t>Zimisele</t>
  </si>
  <si>
    <t>Madani</t>
  </si>
  <si>
    <t>SST000473</t>
  </si>
  <si>
    <t>Chase</t>
  </si>
  <si>
    <t>Agulhas</t>
  </si>
  <si>
    <t>SST000475</t>
  </si>
  <si>
    <t>Paul</t>
  </si>
  <si>
    <t>Spagnoletti</t>
  </si>
  <si>
    <t>RE - Revenue Executive</t>
  </si>
  <si>
    <t>SST000476</t>
  </si>
  <si>
    <t>Lindani</t>
  </si>
  <si>
    <t>Mabaso</t>
  </si>
  <si>
    <t>PRD - Product</t>
  </si>
  <si>
    <t>SST000478</t>
  </si>
  <si>
    <t>Nikita</t>
  </si>
  <si>
    <t>Venter</t>
  </si>
  <si>
    <t>SST000479</t>
  </si>
  <si>
    <t>Bathobile</t>
  </si>
  <si>
    <t>Sosibo</t>
  </si>
  <si>
    <t>SST000480</t>
  </si>
  <si>
    <t>Nompumelelo</t>
  </si>
  <si>
    <t>Ndindane</t>
  </si>
  <si>
    <t>SST000483</t>
  </si>
  <si>
    <t>Marcus</t>
  </si>
  <si>
    <t>Loveland</t>
  </si>
  <si>
    <t>PL - Product Lead</t>
  </si>
  <si>
    <t>SST000484</t>
  </si>
  <si>
    <t>Michaela</t>
  </si>
  <si>
    <t>Kruger</t>
  </si>
  <si>
    <t>SST000487</t>
  </si>
  <si>
    <t>Kim</t>
  </si>
  <si>
    <t>FOA - Front Office Administrator</t>
  </si>
  <si>
    <t>SST000496</t>
  </si>
  <si>
    <t>Njabulo</t>
  </si>
  <si>
    <t>Masilela</t>
  </si>
  <si>
    <t>SST000498</t>
  </si>
  <si>
    <t>Zander</t>
  </si>
  <si>
    <t>Rosslee</t>
  </si>
  <si>
    <t>SST000502</t>
  </si>
  <si>
    <t>Teveshan</t>
  </si>
  <si>
    <t>Valaitham</t>
  </si>
  <si>
    <t>PE01 - Associate Product Engineer</t>
  </si>
  <si>
    <t>SST000504</t>
  </si>
  <si>
    <t>Liad</t>
  </si>
  <si>
    <t>Peretz</t>
  </si>
  <si>
    <t>SST000505</t>
  </si>
  <si>
    <t>Frederick</t>
  </si>
  <si>
    <t>Tshimanga</t>
  </si>
  <si>
    <t>SST000506</t>
  </si>
  <si>
    <t>Avela</t>
  </si>
  <si>
    <t>Nyathela</t>
  </si>
  <si>
    <t>SST000507</t>
  </si>
  <si>
    <t>Princeisac</t>
  </si>
  <si>
    <t>Luhanga</t>
  </si>
  <si>
    <t>STL - Support Team Lead</t>
  </si>
  <si>
    <t>SST000515</t>
  </si>
  <si>
    <t>De Comarmond</t>
  </si>
  <si>
    <t>DS - Data Scientist</t>
  </si>
  <si>
    <t>SST000516</t>
  </si>
  <si>
    <t>Dirk</t>
  </si>
  <si>
    <t>Steynberg</t>
  </si>
  <si>
    <t>SDE - Specialist Data Engineer</t>
  </si>
  <si>
    <t>SST000518</t>
  </si>
  <si>
    <t>Joseph</t>
  </si>
  <si>
    <t>Libilo</t>
  </si>
  <si>
    <t>SOE01 - Associate SecOps Engineer</t>
  </si>
  <si>
    <t>SST000519</t>
  </si>
  <si>
    <t>Ngwerume</t>
  </si>
  <si>
    <t>DT - Desktop Technician</t>
  </si>
  <si>
    <t>SST000520</t>
  </si>
  <si>
    <t>Bianca</t>
  </si>
  <si>
    <t>Pensalfine</t>
  </si>
  <si>
    <t>SEM - Service Manager</t>
  </si>
  <si>
    <t>SST000521</t>
  </si>
  <si>
    <t>Shulka</t>
  </si>
  <si>
    <t>Ramlal</t>
  </si>
  <si>
    <t>SST000522</t>
  </si>
  <si>
    <t>Ivan</t>
  </si>
  <si>
    <t>Williams</t>
  </si>
  <si>
    <t>SST000523</t>
  </si>
  <si>
    <t>Sihle</t>
  </si>
  <si>
    <t>Ndlovu</t>
  </si>
  <si>
    <t>SST000525</t>
  </si>
  <si>
    <t>Dalya</t>
  </si>
  <si>
    <t>Blecher</t>
  </si>
  <si>
    <t>ASE - Associate Software Engineer</t>
  </si>
  <si>
    <t>GRAD - Graduate</t>
  </si>
  <si>
    <t>SST000526</t>
  </si>
  <si>
    <t>Mahlatjie</t>
  </si>
  <si>
    <t>DE01 - Intermediate Data Engineer</t>
  </si>
  <si>
    <t>SST000527</t>
  </si>
  <si>
    <t>Asher</t>
  </si>
  <si>
    <t>Radowsky</t>
  </si>
  <si>
    <t>SST000528</t>
  </si>
  <si>
    <t>Shaun</t>
  </si>
  <si>
    <t>Victor</t>
  </si>
  <si>
    <t>PDL - PMO Delivery Lead</t>
  </si>
  <si>
    <t>SST000529</t>
  </si>
  <si>
    <t>Amber</t>
  </si>
  <si>
    <t>Blignaut</t>
  </si>
  <si>
    <t>SST000530</t>
  </si>
  <si>
    <t>Amy</t>
  </si>
  <si>
    <t>Pegram</t>
  </si>
  <si>
    <t>SST000531</t>
  </si>
  <si>
    <t>Rahimi</t>
  </si>
  <si>
    <t>SST000532</t>
  </si>
  <si>
    <t>Barkley</t>
  </si>
  <si>
    <t>van Wyngaard</t>
  </si>
  <si>
    <t>DL - Delivery Lead</t>
  </si>
  <si>
    <t>SST000533</t>
  </si>
  <si>
    <t>Chanel</t>
  </si>
  <si>
    <t>Barnard</t>
  </si>
  <si>
    <t>BA - Business Analyst</t>
  </si>
  <si>
    <t>SST000535</t>
  </si>
  <si>
    <t>Davril</t>
  </si>
  <si>
    <t>Cohen</t>
  </si>
  <si>
    <t>SST000536</t>
  </si>
  <si>
    <t>Gaylene</t>
  </si>
  <si>
    <t>Scott</t>
  </si>
  <si>
    <t>SST000537</t>
  </si>
  <si>
    <t>Henko</t>
  </si>
  <si>
    <t>Germishuizen</t>
  </si>
  <si>
    <t>SST000538</t>
  </si>
  <si>
    <t>Jannes</t>
  </si>
  <si>
    <t>UGL - Utilisation and Growth Lead</t>
  </si>
  <si>
    <t>SST000539</t>
  </si>
  <si>
    <t>Jay-Dee</t>
  </si>
  <si>
    <t>Sale</t>
  </si>
  <si>
    <t>SST000540</t>
  </si>
  <si>
    <t>Marsh</t>
  </si>
  <si>
    <t>Middleton</t>
  </si>
  <si>
    <t>HOS - Head of Sales</t>
  </si>
  <si>
    <t>SST000544</t>
  </si>
  <si>
    <t>Sean</t>
  </si>
  <si>
    <t>Aucamp</t>
  </si>
  <si>
    <t>SST000545</t>
  </si>
  <si>
    <t>Vin</t>
  </si>
  <si>
    <t>Mushwana</t>
  </si>
  <si>
    <t>SST000546</t>
  </si>
  <si>
    <t>Wian</t>
  </si>
  <si>
    <t>Nell</t>
  </si>
  <si>
    <t>SST000547</t>
  </si>
  <si>
    <t>Wihan</t>
  </si>
  <si>
    <t>van Rensburg</t>
  </si>
  <si>
    <t>SST000550</t>
  </si>
  <si>
    <t>Louise</t>
  </si>
  <si>
    <t>Nock</t>
  </si>
  <si>
    <t>SST000551</t>
  </si>
  <si>
    <t>Lesley</t>
  </si>
  <si>
    <t>van den Heever</t>
  </si>
  <si>
    <t>SST000552</t>
  </si>
  <si>
    <t>Byron</t>
  </si>
  <si>
    <t>Phillips</t>
  </si>
  <si>
    <t>MS01 - Head of Managed Operations</t>
  </si>
  <si>
    <t>SST000554</t>
  </si>
  <si>
    <t>Mitchell</t>
  </si>
  <si>
    <t>ADM - Administrator</t>
  </si>
  <si>
    <t>SST000555</t>
  </si>
  <si>
    <t>Nyakarombo</t>
  </si>
  <si>
    <t>SST000556</t>
  </si>
  <si>
    <t>Amit</t>
  </si>
  <si>
    <t>SST000557</t>
  </si>
  <si>
    <t>Nitesh</t>
  </si>
  <si>
    <t>Dhoogar</t>
  </si>
  <si>
    <t>SST000558</t>
  </si>
  <si>
    <t>Salvatore</t>
  </si>
  <si>
    <t>Errera</t>
  </si>
  <si>
    <t>HOR - Head of RegTech</t>
  </si>
  <si>
    <t>SST000559</t>
  </si>
  <si>
    <t>Niren</t>
  </si>
  <si>
    <t>Subramoney</t>
  </si>
  <si>
    <t>SFM - Senior Financial Manager</t>
  </si>
  <si>
    <t>SST000561</t>
  </si>
  <si>
    <t>Rivalani</t>
  </si>
  <si>
    <t>Nkuna</t>
  </si>
  <si>
    <t>LDSD - Lead Developer: Solutions Delivery</t>
  </si>
  <si>
    <t>SST000562</t>
  </si>
  <si>
    <t>Werner</t>
  </si>
  <si>
    <t>de Jager</t>
  </si>
  <si>
    <t>HOSA - Head of Strategic Alliances</t>
  </si>
  <si>
    <t>SST000563</t>
  </si>
  <si>
    <t>Phuti</t>
  </si>
  <si>
    <t>Teffo</t>
  </si>
  <si>
    <t>S - Support Engineer</t>
  </si>
  <si>
    <t>SST000564</t>
  </si>
  <si>
    <t>Vivien</t>
  </si>
  <si>
    <t>Baker</t>
  </si>
  <si>
    <t>SST000565</t>
  </si>
  <si>
    <t>Lufuno</t>
  </si>
  <si>
    <t>Mabirimisa</t>
  </si>
  <si>
    <t>SST000566</t>
  </si>
  <si>
    <t>Harry</t>
  </si>
  <si>
    <t>Myburgh</t>
  </si>
  <si>
    <t>SMLE - Senior Machine Learning Engineer</t>
  </si>
  <si>
    <t>SST000567</t>
  </si>
  <si>
    <t>Devon</t>
  </si>
  <si>
    <t>Theron</t>
  </si>
  <si>
    <t>HOG - Head of Growth</t>
  </si>
  <si>
    <t>SST000568</t>
  </si>
  <si>
    <t>Mbongeni</t>
  </si>
  <si>
    <t>Ngcobo</t>
  </si>
  <si>
    <t>SST000569</t>
  </si>
  <si>
    <t>Devin</t>
  </si>
  <si>
    <t>Marder</t>
  </si>
  <si>
    <t>SNDE - Senior Data Engineer</t>
  </si>
  <si>
    <t>SST000570</t>
  </si>
  <si>
    <t>Jacob</t>
  </si>
  <si>
    <t>Van Der Walt</t>
  </si>
  <si>
    <t>SST000571</t>
  </si>
  <si>
    <t>Donovan</t>
  </si>
  <si>
    <t>Broughton</t>
  </si>
  <si>
    <t>SST000572</t>
  </si>
  <si>
    <t>Brendan</t>
  </si>
  <si>
    <t>Potgieter</t>
  </si>
  <si>
    <t>OEL - Operational Efficiency Lead</t>
  </si>
  <si>
    <t>SST000573</t>
  </si>
  <si>
    <t>Ian</t>
  </si>
  <si>
    <t>Weber</t>
  </si>
  <si>
    <t>SST000574</t>
  </si>
  <si>
    <t>Phumudzo</t>
  </si>
  <si>
    <t>Mbelengwa</t>
  </si>
  <si>
    <t>SST000575</t>
  </si>
  <si>
    <t>Mashiane</t>
  </si>
  <si>
    <t>SST000576</t>
  </si>
  <si>
    <t>Brandon</t>
  </si>
  <si>
    <t>Fairweather</t>
  </si>
  <si>
    <t>HOCS - Head of Challenger Squad</t>
  </si>
  <si>
    <t>SST000577</t>
  </si>
  <si>
    <t>Natasha</t>
  </si>
  <si>
    <t>SPD - Senior Product Designer</t>
  </si>
  <si>
    <t>SST000578</t>
  </si>
  <si>
    <t>Elizabeth</t>
  </si>
  <si>
    <t>Bramley</t>
  </si>
  <si>
    <t>LDS - Lead Design Strategist</t>
  </si>
  <si>
    <t>SST000579</t>
  </si>
  <si>
    <t>Annelize</t>
  </si>
  <si>
    <t>Thomas</t>
  </si>
  <si>
    <t>DSL - Design Strategy Lead</t>
  </si>
  <si>
    <t>SST000580</t>
  </si>
  <si>
    <t>Robinson</t>
  </si>
  <si>
    <t>ED - Experience Designer</t>
  </si>
  <si>
    <t>SST000581</t>
  </si>
  <si>
    <t>Randy</t>
  </si>
  <si>
    <t>Kubheka</t>
  </si>
  <si>
    <t>JM - Junior Management</t>
  </si>
  <si>
    <t>SST000582</t>
  </si>
  <si>
    <t>Neldan</t>
  </si>
  <si>
    <t>Janse Van Rensburg</t>
  </si>
  <si>
    <t>SST000583</t>
  </si>
  <si>
    <t>Reagan</t>
  </si>
  <si>
    <t>Mashiloane</t>
  </si>
  <si>
    <t>SCE - Senior Cloud Engineer</t>
  </si>
  <si>
    <t>TB01</t>
  </si>
  <si>
    <t>Tayla</t>
  </si>
  <si>
    <t>Boni</t>
  </si>
  <si>
    <t>HPMO - Head of PMO</t>
  </si>
  <si>
    <t>TD01</t>
  </si>
  <si>
    <t>Tjaard</t>
  </si>
  <si>
    <t>Du Plessis</t>
  </si>
  <si>
    <t>PSE - Professional Services Executive</t>
  </si>
  <si>
    <t>TH05</t>
  </si>
  <si>
    <t>Tristan</t>
  </si>
  <si>
    <t>Hughes</t>
  </si>
  <si>
    <t>TK03</t>
  </si>
  <si>
    <t>Thulani</t>
  </si>
  <si>
    <t>Kula</t>
  </si>
  <si>
    <t>DOE02 - Intermediate DevOps Engineer</t>
  </si>
  <si>
    <t>TM09</t>
  </si>
  <si>
    <t>Tendai</t>
  </si>
  <si>
    <t>Musonza</t>
  </si>
  <si>
    <t>CNS - Cloud Network S</t>
  </si>
  <si>
    <t>TM15</t>
  </si>
  <si>
    <t>Taona</t>
  </si>
  <si>
    <t>Madawo</t>
  </si>
  <si>
    <t>SA - Solutions Architect</t>
  </si>
  <si>
    <t>TM17</t>
  </si>
  <si>
    <t>Thamsanqa</t>
  </si>
  <si>
    <t>Mkhize</t>
  </si>
  <si>
    <t>IPM01 - Intermediate Cons Proj Mng</t>
  </si>
  <si>
    <t>TN01</t>
  </si>
  <si>
    <t>Tamelani</t>
  </si>
  <si>
    <t>Netshilema</t>
  </si>
  <si>
    <t>WG01</t>
  </si>
  <si>
    <t>William</t>
  </si>
  <si>
    <t>Gourley</t>
  </si>
  <si>
    <t>YB01</t>
  </si>
  <si>
    <t>Yasheen</t>
  </si>
  <si>
    <t>Bhawanipersad</t>
  </si>
  <si>
    <t>TTL - Tax Team Lead</t>
  </si>
  <si>
    <t>YR01</t>
  </si>
  <si>
    <t>Yolande</t>
  </si>
  <si>
    <t>Roberts</t>
  </si>
  <si>
    <t>michael@synthesis.co.za</t>
  </si>
  <si>
    <t>0833274929</t>
  </si>
  <si>
    <t>naseem@synthesis.co.za</t>
  </si>
  <si>
    <t>0827493272</t>
  </si>
  <si>
    <t>steyn@synthesis.co.za</t>
  </si>
  <si>
    <t>0834501034</t>
  </si>
  <si>
    <t>bhavesh@synthesis.co.za</t>
  </si>
  <si>
    <t>0825423485</t>
  </si>
  <si>
    <t>chad@synthesis.co.za</t>
  </si>
  <si>
    <t>0726304180</t>
  </si>
  <si>
    <t>declan@synthesis.co.za</t>
  </si>
  <si>
    <t>0760458979</t>
  </si>
  <si>
    <t>damien@synthesis.co.za</t>
  </si>
  <si>
    <t>0780592626</t>
  </si>
  <si>
    <t>devina@synthesis.co.za</t>
  </si>
  <si>
    <t>0721058892</t>
  </si>
  <si>
    <t>denieke@synthesis.co.za</t>
  </si>
  <si>
    <t>0726828276</t>
  </si>
  <si>
    <t>rodney@synthesis.co.za</t>
  </si>
  <si>
    <t>0824937062</t>
  </si>
  <si>
    <t>garth@synthesis.co.za</t>
  </si>
  <si>
    <t>0670536138</t>
  </si>
  <si>
    <t>james@synthesis.co.za</t>
  </si>
  <si>
    <t>0662578433</t>
  </si>
  <si>
    <t>jonathanj@synthesis.co.za</t>
  </si>
  <si>
    <t>0741550219</t>
  </si>
  <si>
    <t>jonathanl@synthesis.co.za</t>
  </si>
  <si>
    <t>0834501727</t>
  </si>
  <si>
    <t>jonathan@synthesis.co.za</t>
  </si>
  <si>
    <t>0734452107</t>
  </si>
  <si>
    <t>jeanette@synthesis.co.za</t>
  </si>
  <si>
    <t>0715878835</t>
  </si>
  <si>
    <t>kieron@synthesis.co.za</t>
  </si>
  <si>
    <t>0846987203</t>
  </si>
  <si>
    <t>lukeh@synthesis.co.za</t>
  </si>
  <si>
    <t>0728435389</t>
  </si>
  <si>
    <t>0721791596</t>
  </si>
  <si>
    <t>leandre@synthesis.co.za</t>
  </si>
  <si>
    <t>0723214345</t>
  </si>
  <si>
    <t>louis-philip@synthesis.co.za</t>
  </si>
  <si>
    <t>0729985673</t>
  </si>
  <si>
    <t>marinda@synthesis.co.za</t>
  </si>
  <si>
    <t>0783449276</t>
  </si>
  <si>
    <t>mark@synthesis.co.za</t>
  </si>
  <si>
    <t>0833258246</t>
  </si>
  <si>
    <t>mantombi@synthesis.co.za</t>
  </si>
  <si>
    <t>0739501311</t>
  </si>
  <si>
    <t>0731672572</t>
  </si>
  <si>
    <t>martins@synthesis.co.za</t>
  </si>
  <si>
    <t>0833823437</t>
  </si>
  <si>
    <t>muhiya@synthesis.co.za</t>
  </si>
  <si>
    <t>0738742017</t>
  </si>
  <si>
    <t>sharon@synthesis.co.za</t>
  </si>
  <si>
    <t>0714750201</t>
  </si>
  <si>
    <t>tayla@synthesis.co.za</t>
  </si>
  <si>
    <t>0844322249</t>
  </si>
  <si>
    <t>tjaard@synthesis.co.za</t>
  </si>
  <si>
    <t>0827698551</t>
  </si>
  <si>
    <t>vincentdc@synthesis.co.za</t>
  </si>
  <si>
    <t>0726974424</t>
  </si>
  <si>
    <t>archana@synthesis.co.za</t>
  </si>
  <si>
    <t>0834186862</t>
  </si>
  <si>
    <t>claire@synthesis.co.za</t>
  </si>
  <si>
    <t>0829658798</t>
  </si>
  <si>
    <t>dean@synthesis.co.za</t>
  </si>
  <si>
    <t>0722575441</t>
  </si>
  <si>
    <t>jared@synthesis.co.za</t>
  </si>
  <si>
    <t>0761151332</t>
  </si>
  <si>
    <t>johan@synthesis.co.za</t>
  </si>
  <si>
    <t>0764233165</t>
  </si>
  <si>
    <t>jordan@synthesis.co.za</t>
  </si>
  <si>
    <t>0712292603</t>
  </si>
  <si>
    <t>marais@synthesis.co.za</t>
  </si>
  <si>
    <t>0825687420</t>
  </si>
  <si>
    <t>neldan@synthesis.co.za</t>
  </si>
  <si>
    <t>0636877973</t>
  </si>
  <si>
    <t>nick@synthesis.co.za</t>
  </si>
  <si>
    <t>0824686354</t>
  </si>
  <si>
    <t>ricardo@synthesis.co.za</t>
  </si>
  <si>
    <t>0836751898</t>
  </si>
  <si>
    <t>rui@synthesis.co.za</t>
  </si>
  <si>
    <t>0795188596</t>
  </si>
  <si>
    <t>tristan@synthesis.co.za</t>
  </si>
  <si>
    <t>0608146381</t>
  </si>
  <si>
    <t>ernst@synthesis.co.za</t>
  </si>
  <si>
    <t>0732078897</t>
  </si>
  <si>
    <t>yasheen@synthesis.co.za</t>
  </si>
  <si>
    <t>0662044914</t>
  </si>
  <si>
    <t>preshalin@synthesis.co.za</t>
  </si>
  <si>
    <t>0837669860</t>
  </si>
  <si>
    <t>darren@synthesis.co.za</t>
  </si>
  <si>
    <t>0827833713</t>
  </si>
  <si>
    <t>francois@synthesis.co.za</t>
  </si>
  <si>
    <t>0798742916</t>
  </si>
  <si>
    <t>gareth@synthesis.co.za</t>
  </si>
  <si>
    <t>0834269561</t>
  </si>
  <si>
    <t>matthew@synthesis.co.za</t>
  </si>
  <si>
    <t>0833889105</t>
  </si>
  <si>
    <t>michelle@synthesis.co.za</t>
  </si>
  <si>
    <t>0713515463</t>
  </si>
  <si>
    <t>tendaim@synthesis.co.za</t>
  </si>
  <si>
    <t>0621498781</t>
  </si>
  <si>
    <t>arno@synthesis.co.za</t>
  </si>
  <si>
    <t>0649063446</t>
  </si>
  <si>
    <t>lesego@synthesis.co.za</t>
  </si>
  <si>
    <t>0691047806</t>
  </si>
  <si>
    <t>manthan@synthesis.co.za</t>
  </si>
  <si>
    <t>0616491015</t>
  </si>
  <si>
    <t>miguel@synthesis.co.za</t>
  </si>
  <si>
    <t>0722179955</t>
  </si>
  <si>
    <t>marcin@synthesis.co.za</t>
  </si>
  <si>
    <t>0721378228</t>
  </si>
  <si>
    <t>rolf@synthesis.co.za</t>
  </si>
  <si>
    <t>0840272395</t>
  </si>
  <si>
    <t>jessica-may@synthesis.co.za</t>
  </si>
  <si>
    <t>0725203336</t>
  </si>
  <si>
    <t>kudzai@synthesis.co.za</t>
  </si>
  <si>
    <t>0833440181</t>
  </si>
  <si>
    <t>athini@synthesis.co.za</t>
  </si>
  <si>
    <t>0793866448</t>
  </si>
  <si>
    <t>harshil@synthesis.co.za</t>
  </si>
  <si>
    <t>0844983176</t>
  </si>
  <si>
    <t>jayden@synthesis.co.za</t>
  </si>
  <si>
    <t>0794134051</t>
  </si>
  <si>
    <t>kyle@synthesis.co.za</t>
  </si>
  <si>
    <t>0828762627</t>
  </si>
  <si>
    <t>mohammedv@synthesis.co.za</t>
  </si>
  <si>
    <t>0762907264</t>
  </si>
  <si>
    <t>ruben@synthesis.co.za</t>
  </si>
  <si>
    <t>0744697800</t>
  </si>
  <si>
    <t>duncan@synthesis.co.za</t>
  </si>
  <si>
    <t>0714660500</t>
  </si>
  <si>
    <t>melissak@synthesis.co.za</t>
  </si>
  <si>
    <t>0614407113</t>
  </si>
  <si>
    <t>harsha@synthesis.co.za</t>
  </si>
  <si>
    <t>0618850538</t>
  </si>
  <si>
    <t>ronnie@synthesis.co.za</t>
  </si>
  <si>
    <t>0785231141</t>
  </si>
  <si>
    <t>william@synthesis.co.za</t>
  </si>
  <si>
    <t>0743849225</t>
  </si>
  <si>
    <t>michaeln@synthesis.co.za</t>
  </si>
  <si>
    <t>0788327636</t>
  </si>
  <si>
    <t>prince@synthesis.co.za</t>
  </si>
  <si>
    <t>0748812238</t>
  </si>
  <si>
    <t>onke@synthesis.co.za</t>
  </si>
  <si>
    <t>0723226121</t>
  </si>
  <si>
    <t>raees@synthesis.co.za</t>
  </si>
  <si>
    <t>0763132297</t>
  </si>
  <si>
    <t>yolande@synthesis.co.za</t>
  </si>
  <si>
    <t>0798113331</t>
  </si>
  <si>
    <t>kgomotso@synthesis.co.za</t>
  </si>
  <si>
    <t>0817116401</t>
  </si>
  <si>
    <t>qiniso@synthesis.co.za</t>
  </si>
  <si>
    <t>0761905514</t>
  </si>
  <si>
    <t>michael.p@synthesis.co.za</t>
  </si>
  <si>
    <t>0781483503</t>
  </si>
  <si>
    <t>craigf@synthesis.co.za</t>
  </si>
  <si>
    <t>0845861610</t>
  </si>
  <si>
    <t>kovishnee@synthesis.co.za</t>
  </si>
  <si>
    <t>0820777091</t>
  </si>
  <si>
    <t>sibabalwe@synthesis.co.za</t>
  </si>
  <si>
    <t>0617266099</t>
  </si>
  <si>
    <t>taona@synthesis.co.za</t>
  </si>
  <si>
    <t>0734723285</t>
  </si>
  <si>
    <t>arielle@synthesis.co.za</t>
  </si>
  <si>
    <t>0933955001</t>
  </si>
  <si>
    <t>cleorese@synthesis.co.za</t>
  </si>
  <si>
    <t>0607978655</t>
  </si>
  <si>
    <t>debbie@synthesis.co.za</t>
  </si>
  <si>
    <t>0823812577</t>
  </si>
  <si>
    <t>MikeG@synthesis.co.za</t>
  </si>
  <si>
    <t>0605597427</t>
  </si>
  <si>
    <t>nicholasd@synthesis.co.za</t>
  </si>
  <si>
    <t>0823955693</t>
  </si>
  <si>
    <t>konrad@synthesis.co.za</t>
  </si>
  <si>
    <t>0849901099</t>
  </si>
  <si>
    <t>saskia@synthesis.co.za</t>
  </si>
  <si>
    <t>0764788174</t>
  </si>
  <si>
    <t>angie@synthesis.co.za</t>
  </si>
  <si>
    <t>0636844757</t>
  </si>
  <si>
    <t>ryan@synthesis.co.za</t>
  </si>
  <si>
    <t>0761902267</t>
  </si>
  <si>
    <t>thamsanqa@synthesis.co.za</t>
  </si>
  <si>
    <t>0769027383</t>
  </si>
  <si>
    <t>carly@synthesis.co.za</t>
  </si>
  <si>
    <t>0797855692</t>
  </si>
  <si>
    <t>rg@synthesis.co.za</t>
  </si>
  <si>
    <t>0698530008</t>
  </si>
  <si>
    <t>tamelani@synthesis.co.za</t>
  </si>
  <si>
    <t>0762266121</t>
  </si>
  <si>
    <t>thulani@synthesis.co.za</t>
  </si>
  <si>
    <t>0738822929</t>
  </si>
  <si>
    <t>doug@synthesis.co.za</t>
  </si>
  <si>
    <t>0832186043</t>
  </si>
  <si>
    <t>himesh@synthesis.co.za</t>
  </si>
  <si>
    <t>0825634443</t>
  </si>
  <si>
    <t>rhuli@synthesis.co.za</t>
  </si>
  <si>
    <t>0793017394</t>
  </si>
  <si>
    <t>humaira@synthesis.co.za</t>
  </si>
  <si>
    <t>0719203416</t>
  </si>
  <si>
    <t>jason@synthesis.co.za</t>
  </si>
  <si>
    <t>0737457417</t>
  </si>
  <si>
    <t>joshuaw@synthesis.co.za</t>
  </si>
  <si>
    <t>0823322397</t>
  </si>
  <si>
    <t>daniels@synthesis.co.za</t>
  </si>
  <si>
    <t>0824645678</t>
  </si>
  <si>
    <t>dino@synthesis.co.za</t>
  </si>
  <si>
    <t>0849628057</t>
  </si>
  <si>
    <t>louis@synthesis.co.za</t>
  </si>
  <si>
    <t>0605887822</t>
  </si>
  <si>
    <t>kgotsop@synthesis.co.za</t>
  </si>
  <si>
    <t>0735721710</t>
  </si>
  <si>
    <t>enoch@synthesis.co.za</t>
  </si>
  <si>
    <t>0716035175</t>
  </si>
  <si>
    <t>shrey@synthesis.co.za</t>
  </si>
  <si>
    <t>0609306696</t>
  </si>
  <si>
    <t>pfunzo@synthesis.co.za</t>
  </si>
  <si>
    <t>0649607293</t>
  </si>
  <si>
    <t>sharika@synthesis.co.za</t>
  </si>
  <si>
    <t>0699949051</t>
  </si>
  <si>
    <t>siyabonga@synthesis.co.za</t>
  </si>
  <si>
    <t>0711572366</t>
  </si>
  <si>
    <t>steve@synthesis.co.za</t>
  </si>
  <si>
    <t>0765841148</t>
  </si>
  <si>
    <t>suvarna@synthesis.co.za</t>
  </si>
  <si>
    <t>0615090018</t>
  </si>
  <si>
    <t>thabo@synthesis.co.za</t>
  </si>
  <si>
    <t>0833945610</t>
  </si>
  <si>
    <t>tezlin@synthesis.co.za</t>
  </si>
  <si>
    <t>0662143592</t>
  </si>
  <si>
    <t>Andries@synthesis.co.za</t>
  </si>
  <si>
    <t>0828104282</t>
  </si>
  <si>
    <t>Kate@synthesis.co.za</t>
  </si>
  <si>
    <t>0820769217</t>
  </si>
  <si>
    <t>Tashia@synthesis.co.za</t>
  </si>
  <si>
    <t>0832752211</t>
  </si>
  <si>
    <t>VincentV@synthesis.co.za</t>
  </si>
  <si>
    <t>0798994275</t>
  </si>
  <si>
    <t>jarryd@synthesis.co.za</t>
  </si>
  <si>
    <t>0826912258</t>
  </si>
  <si>
    <t>Zimisele@synthesis.co.za</t>
  </si>
  <si>
    <t>0794792202</t>
  </si>
  <si>
    <t>Chase@synthesis.co.za</t>
  </si>
  <si>
    <t>0837002384</t>
  </si>
  <si>
    <t>0660347965</t>
  </si>
  <si>
    <t>0765181416</t>
  </si>
  <si>
    <t>Paul@synthesis.co.za</t>
  </si>
  <si>
    <t>0836474045</t>
  </si>
  <si>
    <t>LindaniM@synthesis.co.za</t>
  </si>
  <si>
    <t>0711171524</t>
  </si>
  <si>
    <t>nikita@synthesis.co.za</t>
  </si>
  <si>
    <t>0605204725</t>
  </si>
  <si>
    <t>marcus@synthesis.co.za</t>
  </si>
  <si>
    <t>0835675968</t>
  </si>
  <si>
    <t>michaela@synthesis.co.za</t>
  </si>
  <si>
    <t>0721619382</t>
  </si>
  <si>
    <t>kimk@synthesis.co.za</t>
  </si>
  <si>
    <t>0836012750</t>
  </si>
  <si>
    <t>njabulo@synthesis.co.za</t>
  </si>
  <si>
    <t>0680167887</t>
  </si>
  <si>
    <t>Zander@synthesis.co.za</t>
  </si>
  <si>
    <t>0826540532</t>
  </si>
  <si>
    <t>Teveshan@synthesis.co.za</t>
  </si>
  <si>
    <t>0614834485</t>
  </si>
  <si>
    <t>Liad@synthesis.co.za</t>
  </si>
  <si>
    <t>0711770662</t>
  </si>
  <si>
    <t>frederick@synthesis.co.za</t>
  </si>
  <si>
    <t>0782000470</t>
  </si>
  <si>
    <t>dirk@synthesis.co.za</t>
  </si>
  <si>
    <t>0609883832</t>
  </si>
  <si>
    <t>velaphi@synthesis.co.za</t>
  </si>
  <si>
    <t>0786085556</t>
  </si>
  <si>
    <t>craign@synthesis.co.za</t>
  </si>
  <si>
    <t>0679588123</t>
  </si>
  <si>
    <t>Clara@synthesis.co.za</t>
  </si>
  <si>
    <t>0827187974</t>
  </si>
  <si>
    <t>shulka@synthesis.co.za</t>
  </si>
  <si>
    <t>0796212786</t>
  </si>
  <si>
    <t>amber@synthesis.co.za</t>
  </si>
  <si>
    <t>0643800637</t>
  </si>
  <si>
    <t>ivan.williams@synthesis.co.za</t>
  </si>
  <si>
    <t>0649529066</t>
  </si>
  <si>
    <t>sihle@synthesis.co.za</t>
  </si>
  <si>
    <t>0839578644</t>
  </si>
  <si>
    <t>Dalya@synthesis.co.za</t>
  </si>
  <si>
    <t>0828407744</t>
  </si>
  <si>
    <t>marcus.mahlatjie@synthesis.co.za</t>
  </si>
  <si>
    <t>0743380562</t>
  </si>
  <si>
    <t>asher@synthesis.co.za</t>
  </si>
  <si>
    <t>0826384775</t>
  </si>
  <si>
    <t>shaun@synthesis.co.za</t>
  </si>
  <si>
    <t>0727990200</t>
  </si>
  <si>
    <t>amy@synthesis.co.za</t>
  </si>
  <si>
    <t>0715234393</t>
  </si>
  <si>
    <t>gaylene.scott@synthesis.co.za</t>
  </si>
  <si>
    <t>0798233070</t>
  </si>
  <si>
    <t>henko.germishuizen@synthesis.co.za</t>
  </si>
  <si>
    <t>0734587231</t>
  </si>
  <si>
    <t>jay.sale@synthesis.co.za</t>
  </si>
  <si>
    <t>0609846198</t>
  </si>
  <si>
    <t>wihan.vanrensburg@synthesis.co.za</t>
  </si>
  <si>
    <t>0726639685</t>
  </si>
  <si>
    <t>davril.cohen@synthesis.co.za</t>
  </si>
  <si>
    <t>0722097970</t>
  </si>
  <si>
    <t>wian.nell@synthesis.co.za</t>
  </si>
  <si>
    <t>0820676887</t>
  </si>
  <si>
    <t>sean.aucamp@synthesis.co.za</t>
  </si>
  <si>
    <t>0844721994</t>
  </si>
  <si>
    <t>barkley.vanwyngaard@synthesis.co.za</t>
  </si>
  <si>
    <t>0829794148</t>
  </si>
  <si>
    <t>vin.mushwana@synthesis.co.za</t>
  </si>
  <si>
    <t>0619009589</t>
  </si>
  <si>
    <t>ahmed.rahimi@synthesis.co.za</t>
  </si>
  <si>
    <t>0662211233</t>
  </si>
  <si>
    <t>marsh.middleton@synthesis.co.za</t>
  </si>
  <si>
    <t>0823291169</t>
  </si>
  <si>
    <t>chanel.barnard@synthesis.co.za</t>
  </si>
  <si>
    <t>0823951737</t>
  </si>
  <si>
    <t>jannes.kruger@synthesis.co.za</t>
  </si>
  <si>
    <t>0836542670</t>
  </si>
  <si>
    <t>louise@synthesis.co.za</t>
  </si>
  <si>
    <t>0833726140</t>
  </si>
  <si>
    <t>lesley@synthesis.co.za</t>
  </si>
  <si>
    <t>0662039189</t>
  </si>
  <si>
    <t>byron@synthesis.co.za</t>
  </si>
  <si>
    <t>0718944527</t>
  </si>
  <si>
    <t>amym@synthesis.co.za</t>
  </si>
  <si>
    <t>0720229288</t>
  </si>
  <si>
    <t>nitesh@synthesis.co.za</t>
  </si>
  <si>
    <t>0813950460</t>
  </si>
  <si>
    <t>amit@synthesis.co.za</t>
  </si>
  <si>
    <t>0612012779</t>
  </si>
  <si>
    <t>nirens@synthesis.co.za</t>
  </si>
  <si>
    <t>0813615048</t>
  </si>
  <si>
    <t>salvatore@synthesis.co.za</t>
  </si>
  <si>
    <t>0721491732</t>
  </si>
  <si>
    <t>Tammy@synthesis.co.za</t>
  </si>
  <si>
    <t>0721289793</t>
  </si>
  <si>
    <t>werner@synthesis.co.za</t>
  </si>
  <si>
    <t>0840534257</t>
  </si>
  <si>
    <t>phuti@synthesis.co.za</t>
  </si>
  <si>
    <t>0765095207</t>
  </si>
  <si>
    <t>vivien@synthesis.co.za</t>
  </si>
  <si>
    <t>0844045369</t>
  </si>
  <si>
    <t>Lufuno@synthesis.co.za</t>
  </si>
  <si>
    <t>0658414216</t>
  </si>
  <si>
    <t>harry.myburgh@synthesis.co.za</t>
  </si>
  <si>
    <t>0796166216</t>
  </si>
  <si>
    <t>Mbongeni@synthesis.co.za</t>
  </si>
  <si>
    <t>0685970229</t>
  </si>
  <si>
    <t>devont@synthesis.co.za</t>
  </si>
  <si>
    <t>0717179077</t>
  </si>
  <si>
    <t>devin@synthesis.co.za</t>
  </si>
  <si>
    <t>0832331386</t>
  </si>
  <si>
    <t>louisvdw@synthesis.co.za</t>
  </si>
  <si>
    <t>0788031578</t>
  </si>
  <si>
    <t>brendan@synthesis.co.za</t>
  </si>
  <si>
    <t>0840822217</t>
  </si>
  <si>
    <t>ian@synthesis.co.za</t>
  </si>
  <si>
    <t>0722137775</t>
  </si>
  <si>
    <t>phumudzo@synthesis.co.za</t>
  </si>
  <si>
    <t>0715798007</t>
  </si>
  <si>
    <t>donovan@synthesis.co.za</t>
  </si>
  <si>
    <t>0765100576</t>
  </si>
  <si>
    <t>njabulom@synthesis.co.za</t>
  </si>
  <si>
    <t>0617419682</t>
  </si>
  <si>
    <t>randy@synthesis.co.za</t>
  </si>
  <si>
    <t>0603089993</t>
  </si>
  <si>
    <t>reagan@synthesis.co.za</t>
  </si>
  <si>
    <t>0789832125</t>
  </si>
  <si>
    <t>Printed on: 2026/05/06; 18:49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</si>
</sst>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1BACF"/>
      </patternFill>
    </fill>
    <fill>
      <patternFill patternType="solid">
        <fgColor rgb="FFEFF3FA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60729B"/>
      </left>
      <right style="thin">
        <color rgb="FF60729B"/>
      </right>
      <top/>
      <bottom style="thin">
        <color rgb="FF60729B"/>
      </bottom>
      <diagonal/>
    </border>
    <border>
      <left/>
      <right style="thin">
        <color rgb="FF60729B"/>
      </right>
      <top/>
      <bottom style="thin">
        <color rgb="FF60729B"/>
      </bottom>
      <diagonal/>
    </border>
    <border>
      <left style="thin">
        <color rgb="FFD2D7E3"/>
      </left>
      <right style="thin">
        <color rgb="FFD2D7E3"/>
      </right>
      <top/>
      <bottom style="thin">
        <color rgb="FFD2D7E3"/>
      </bottom>
      <diagonal/>
    </border>
    <border>
      <left/>
      <right style="thin">
        <color rgb="FFD2D7E3"/>
      </right>
      <top/>
      <bottom style="thin">
        <color rgb="FFD2D7E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49" fontId="1" fillId="0" borderId="0" xfId="0" applyNumberFormat="1" applyFont="1" applyAlignment="1">
      <alignment horizontal="left" vertical="top" wrapText="1" shrinkToFit="1" readingOrder="1"/>
    </xf>
    <xf numFmtId="49" fontId="3" fillId="3" borderId="3" xfId="0" applyNumberFormat="1" applyFont="1" applyFill="1" applyBorder="1" applyAlignment="1">
      <alignment horizontal="left" vertical="center" wrapText="1" shrinkToFit="1" readingOrder="1"/>
    </xf>
    <xf numFmtId="49" fontId="3" fillId="0" borderId="3" xfId="0" applyNumberFormat="1" applyFont="1" applyBorder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right" vertical="top" wrapText="1" shrinkToFit="1" readingOrder="1"/>
    </xf>
    <xf numFmtId="0" fontId="4" fillId="0" borderId="5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4" borderId="0" xfId="0" applyFill="1"/>
    <xf numFmtId="0" fontId="2" fillId="4" borderId="2" xfId="0" applyFont="1" applyFill="1" applyBorder="1" applyAlignment="1">
      <alignment horizontal="left" vertical="center" wrapText="1" shrinkToFit="1" readingOrder="1"/>
    </xf>
    <xf numFmtId="49" fontId="3" fillId="4" borderId="4" xfId="0" applyNumberFormat="1" applyFont="1" applyFill="1" applyBorder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left" vertical="top" wrapText="1" shrinkToFit="1" readingOrder="1"/>
    </xf>
    <xf numFmtId="49" fontId="3" fillId="4" borderId="0" xfId="0" applyNumberFormat="1" applyFont="1" applyFill="1" applyAlignment="1">
      <alignment horizontal="right" vertical="top" wrapText="1" shrinkToFit="1" readingOrder="1"/>
    </xf>
    <xf numFmtId="49" fontId="0" fillId="0" borderId="0" xfId="0" applyNumberFormat="1"/>
    <xf numFmtId="49" fontId="0" fillId="4" borderId="0" xfId="0" applyNumberFormat="1" applyFill="1"/>
    <xf numFmtId="49" fontId="2" fillId="4" borderId="2" xfId="0" applyNumberFormat="1" applyFont="1" applyFill="1" applyBorder="1" applyAlignment="1">
      <alignment horizontal="left" vertical="center" wrapText="1" shrinkToFit="1" readingOrder="1"/>
    </xf>
    <xf numFmtId="49" fontId="5" fillId="4" borderId="4" xfId="1" applyNumberFormat="1" applyFill="1" applyBorder="1" applyAlignment="1">
      <alignment horizontal="left" vertical="center" wrapText="1" shrinkToFit="1" readingOrder="1"/>
    </xf>
    <xf numFmtId="49" fontId="4" fillId="0" borderId="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 wrapText="1" shrinkToFit="1" readingOrder="1"/>
    </xf>
    <xf numFmtId="0" fontId="4" fillId="0" borderId="9" xfId="0" applyFont="1" applyBorder="1" applyAlignment="1">
      <alignment vertical="center"/>
    </xf>
    <xf numFmtId="0" fontId="0" fillId="0" borderId="7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ndy@synthesis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7B0D-47BF-4941-8D3F-2FD5227F097E}">
  <sheetPr filterMode="1"/>
  <dimension ref="A1:K193"/>
  <sheetViews>
    <sheetView tabSelected="1" workbookViewId="0">
      <selection activeCell="C186" sqref="C186"/>
    </sheetView>
  </sheetViews>
  <sheetFormatPr defaultColWidth="11.42578125" defaultRowHeight="15"/>
  <cols>
    <col min="2" max="2" width="12.7109375" style="16" bestFit="1" customWidth="1"/>
    <col min="3" max="3" width="12" bestFit="1" customWidth="1"/>
    <col min="4" max="4" width="15.7109375" bestFit="1" customWidth="1"/>
    <col min="5" max="5" width="30.140625" bestFit="1" customWidth="1"/>
    <col min="6" max="6" width="35.85546875" bestFit="1" customWidth="1"/>
    <col min="9" max="9" width="33.7109375" bestFit="1" customWidth="1"/>
    <col min="10" max="10" width="30.42578125" bestFit="1" customWidth="1"/>
    <col min="11" max="11" width="15.7109375" customWidth="1"/>
  </cols>
  <sheetData>
    <row r="1" spans="1:11">
      <c r="A1" s="6" t="s">
        <v>0</v>
      </c>
      <c r="B1" s="20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9" t="s">
        <v>8</v>
      </c>
      <c r="J1" s="10" t="s">
        <v>9</v>
      </c>
      <c r="K1" s="10" t="s">
        <v>10</v>
      </c>
    </row>
    <row r="2" spans="1:11" hidden="1">
      <c r="A2" s="7">
        <v>38139</v>
      </c>
      <c r="B2" s="21">
        <v>10005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23" t="s">
        <v>17</v>
      </c>
      <c r="J2" s="24" t="str">
        <f>_xlfn.XLOOKUP(B2,Sheet!A4,Sheet!B4,0,)</f>
        <v>michael@synthesis.co.za</v>
      </c>
      <c r="K2" s="24" t="str">
        <f>_xlfn.XLOOKUP(B2,Sheet!A:A,Sheet!C:C,FALSE,)</f>
        <v>0833274929</v>
      </c>
    </row>
    <row r="3" spans="1:11" hidden="1">
      <c r="A3" s="7">
        <v>38494</v>
      </c>
      <c r="B3" s="21">
        <v>10006</v>
      </c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16</v>
      </c>
      <c r="I3" s="23" t="s">
        <v>23</v>
      </c>
      <c r="J3" s="24" t="str">
        <f>_xlfn.XLOOKUP(B3,Sheet!A5,Sheet!B5,0,)</f>
        <v>naseem@synthesis.co.za</v>
      </c>
      <c r="K3" s="24" t="str">
        <f>_xlfn.XLOOKUP(B3,Sheet!A:A,Sheet!C:C,FALSE,)</f>
        <v>0827493272</v>
      </c>
    </row>
    <row r="4" spans="1:11" hidden="1">
      <c r="A4" s="7">
        <v>38139</v>
      </c>
      <c r="B4" s="21">
        <v>10009</v>
      </c>
      <c r="C4" s="8" t="s">
        <v>24</v>
      </c>
      <c r="D4" s="8" t="s">
        <v>25</v>
      </c>
      <c r="E4" s="8" t="s">
        <v>13</v>
      </c>
      <c r="F4" s="8" t="s">
        <v>26</v>
      </c>
      <c r="G4" s="8" t="s">
        <v>15</v>
      </c>
      <c r="H4" s="8" t="s">
        <v>16</v>
      </c>
      <c r="I4" s="23" t="s">
        <v>17</v>
      </c>
      <c r="J4" s="24" t="str">
        <f>_xlfn.XLOOKUP(B4,Sheet!A6,Sheet!B6,0,)</f>
        <v>steyn@synthesis.co.za</v>
      </c>
      <c r="K4" s="24" t="str">
        <f>_xlfn.XLOOKUP(B4,Sheet!A:A,Sheet!C:C,FALSE,)</f>
        <v>0834501034</v>
      </c>
    </row>
    <row r="5" spans="1:11" hidden="1">
      <c r="A5" s="7">
        <v>43252</v>
      </c>
      <c r="B5" s="21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8" t="s">
        <v>22</v>
      </c>
      <c r="H5" s="8" t="s">
        <v>32</v>
      </c>
      <c r="I5" s="23" t="s">
        <v>33</v>
      </c>
      <c r="J5" s="24" t="str">
        <f>_xlfn.XLOOKUP(B5,Sheet!A:A,Sheet!B:B,FALSE,)</f>
        <v>archana@synthesis.co.za</v>
      </c>
      <c r="K5" s="24" t="str">
        <f>_xlfn.XLOOKUP(B5,Sheet!A:A,Sheet!C:C,FALSE,)</f>
        <v>0834186862</v>
      </c>
    </row>
    <row r="6" spans="1:11" hidden="1">
      <c r="A6" s="7">
        <v>44866</v>
      </c>
      <c r="B6" s="21" t="s">
        <v>34</v>
      </c>
      <c r="C6" s="8" t="s">
        <v>35</v>
      </c>
      <c r="D6" s="8" t="s">
        <v>36</v>
      </c>
      <c r="E6" s="8" t="s">
        <v>37</v>
      </c>
      <c r="F6" s="8" t="s">
        <v>38</v>
      </c>
      <c r="G6" s="8" t="s">
        <v>15</v>
      </c>
      <c r="H6" s="8" t="s">
        <v>32</v>
      </c>
      <c r="I6" s="23" t="s">
        <v>39</v>
      </c>
      <c r="J6" s="24" t="str">
        <f>_xlfn.XLOOKUP(B6,Sheet!A:A,Sheet!B:B,FALSE,)</f>
        <v>angie@synthesis.co.za</v>
      </c>
      <c r="K6" s="24" t="str">
        <f>_xlfn.XLOOKUP(B6,Sheet!A:A,Sheet!C:C,FALSE,)</f>
        <v>0636844757</v>
      </c>
    </row>
    <row r="7" spans="1:11" hidden="1">
      <c r="A7" s="7">
        <v>44816</v>
      </c>
      <c r="B7" s="21" t="s">
        <v>40</v>
      </c>
      <c r="C7" s="8" t="s">
        <v>41</v>
      </c>
      <c r="D7" s="8" t="s">
        <v>42</v>
      </c>
      <c r="E7" s="8" t="s">
        <v>43</v>
      </c>
      <c r="F7" s="8" t="s">
        <v>44</v>
      </c>
      <c r="G7" s="8" t="s">
        <v>15</v>
      </c>
      <c r="H7" s="8" t="s">
        <v>32</v>
      </c>
      <c r="I7" s="23" t="s">
        <v>39</v>
      </c>
      <c r="J7" s="24" t="str">
        <f>_xlfn.XLOOKUP(B7,Sheet!A:A,Sheet!B:B,FALSE,)</f>
        <v>arielle@synthesis.co.za</v>
      </c>
      <c r="K7" s="24" t="str">
        <f>_xlfn.XLOOKUP(B7,Sheet!A:A,Sheet!C:C,FALSE,)</f>
        <v>0933955001</v>
      </c>
    </row>
    <row r="8" spans="1:11" hidden="1">
      <c r="A8" s="7">
        <v>44562</v>
      </c>
      <c r="B8" s="21" t="s">
        <v>45</v>
      </c>
      <c r="C8" s="8" t="s">
        <v>46</v>
      </c>
      <c r="D8" s="8" t="s">
        <v>47</v>
      </c>
      <c r="E8" s="8" t="s">
        <v>48</v>
      </c>
      <c r="F8" s="8" t="s">
        <v>49</v>
      </c>
      <c r="G8" s="8" t="s">
        <v>50</v>
      </c>
      <c r="H8" s="8" t="s">
        <v>16</v>
      </c>
      <c r="I8" s="23" t="s">
        <v>51</v>
      </c>
      <c r="J8" s="24" t="str">
        <f>_xlfn.XLOOKUP(B8,Sheet!A:A,Sheet!B:B,FALSE,)</f>
        <v>athini@synthesis.co.za</v>
      </c>
      <c r="K8" s="24" t="str">
        <f>_xlfn.XLOOKUP(B8,Sheet!A:A,Sheet!C:C,FALSE,)</f>
        <v>0793866448</v>
      </c>
    </row>
    <row r="9" spans="1:11" hidden="1">
      <c r="A9" s="7">
        <v>43437</v>
      </c>
      <c r="B9" s="21" t="s">
        <v>52</v>
      </c>
      <c r="C9" s="8" t="s">
        <v>53</v>
      </c>
      <c r="D9" s="8" t="s">
        <v>54</v>
      </c>
      <c r="E9" s="8" t="s">
        <v>55</v>
      </c>
      <c r="F9" s="8" t="s">
        <v>56</v>
      </c>
      <c r="G9" s="8" t="s">
        <v>15</v>
      </c>
      <c r="H9" s="8" t="s">
        <v>16</v>
      </c>
      <c r="I9" s="23" t="s">
        <v>51</v>
      </c>
      <c r="J9" s="24" t="str">
        <f>_xlfn.XLOOKUP(B9,Sheet!A:A,Sheet!B:B,FALSE,)</f>
        <v>arno@synthesis.co.za</v>
      </c>
      <c r="K9" s="24" t="str">
        <f>_xlfn.XLOOKUP(B9,Sheet!A:A,Sheet!C:C,FALSE,)</f>
        <v>0649063446</v>
      </c>
    </row>
    <row r="10" spans="1:11" hidden="1">
      <c r="A10" s="7">
        <v>43466</v>
      </c>
      <c r="B10" s="21" t="s">
        <v>57</v>
      </c>
      <c r="C10" s="8" t="s">
        <v>58</v>
      </c>
      <c r="D10" s="8" t="s">
        <v>59</v>
      </c>
      <c r="E10" s="8" t="s">
        <v>60</v>
      </c>
      <c r="F10" s="8" t="s">
        <v>61</v>
      </c>
      <c r="G10" s="8" t="s">
        <v>22</v>
      </c>
      <c r="H10" s="8" t="s">
        <v>16</v>
      </c>
      <c r="I10" s="23" t="s">
        <v>51</v>
      </c>
      <c r="J10" s="24" t="str">
        <f>_xlfn.XLOOKUP(B10,Sheet!A:A,Sheet!B:B,FALSE,)</f>
        <v>bhavesh@synthesis.co.za</v>
      </c>
      <c r="K10" s="24" t="str">
        <f>_xlfn.XLOOKUP(B10,Sheet!A:A,Sheet!C:C,FALSE,)</f>
        <v>0825423485</v>
      </c>
    </row>
    <row r="11" spans="1:11" hidden="1">
      <c r="A11" s="7">
        <v>44197</v>
      </c>
      <c r="B11" s="21" t="s">
        <v>62</v>
      </c>
      <c r="C11" s="8" t="s">
        <v>63</v>
      </c>
      <c r="D11" s="8" t="s">
        <v>64</v>
      </c>
      <c r="E11" s="8" t="s">
        <v>37</v>
      </c>
      <c r="F11" s="8" t="s">
        <v>65</v>
      </c>
      <c r="G11" s="8" t="s">
        <v>15</v>
      </c>
      <c r="H11" s="8" t="s">
        <v>32</v>
      </c>
      <c r="I11" s="23" t="s">
        <v>51</v>
      </c>
      <c r="J11" s="24" t="str">
        <f>_xlfn.XLOOKUP(B11,Sheet!A:A,Sheet!B:B,FALSE,)</f>
        <v>claire@synthesis.co.za</v>
      </c>
      <c r="K11" s="24" t="str">
        <f>_xlfn.XLOOKUP(B11,Sheet!A:A,Sheet!C:C,FALSE,)</f>
        <v>0829658798</v>
      </c>
    </row>
    <row r="12" spans="1:11" hidden="1">
      <c r="A12" s="7">
        <v>40544</v>
      </c>
      <c r="B12" s="21" t="s">
        <v>66</v>
      </c>
      <c r="C12" s="8" t="s">
        <v>67</v>
      </c>
      <c r="D12" s="8" t="s">
        <v>68</v>
      </c>
      <c r="E12" s="8" t="s">
        <v>20</v>
      </c>
      <c r="F12" s="8" t="s">
        <v>69</v>
      </c>
      <c r="G12" s="8" t="s">
        <v>15</v>
      </c>
      <c r="H12" s="8" t="s">
        <v>16</v>
      </c>
      <c r="I12" s="23" t="s">
        <v>23</v>
      </c>
      <c r="J12" s="24" t="str">
        <f>_xlfn.XLOOKUP(B12,Sheet!A:A,Sheet!B:B,FALSE,)</f>
        <v>chad@synthesis.co.za</v>
      </c>
      <c r="K12" s="24" t="str">
        <f>_xlfn.XLOOKUP(B12,Sheet!A:A,Sheet!C:C,FALSE,)</f>
        <v>0726304180</v>
      </c>
    </row>
    <row r="13" spans="1:11" hidden="1">
      <c r="A13" s="7">
        <v>44788</v>
      </c>
      <c r="B13" s="21" t="s">
        <v>70</v>
      </c>
      <c r="C13" s="8" t="s">
        <v>71</v>
      </c>
      <c r="D13" s="8" t="s">
        <v>72</v>
      </c>
      <c r="E13" s="8" t="s">
        <v>73</v>
      </c>
      <c r="F13" s="8" t="s">
        <v>74</v>
      </c>
      <c r="G13" s="8" t="s">
        <v>15</v>
      </c>
      <c r="H13" s="8" t="s">
        <v>16</v>
      </c>
      <c r="I13" s="23" t="s">
        <v>23</v>
      </c>
      <c r="J13" s="24" t="str">
        <f>_xlfn.XLOOKUP(B13,Sheet!A:A,Sheet!B:B,FALSE,)</f>
        <v>craigf@synthesis.co.za</v>
      </c>
      <c r="K13" s="24" t="str">
        <f>_xlfn.XLOOKUP(B13,Sheet!A:A,Sheet!C:C,FALSE,)</f>
        <v>0845861610</v>
      </c>
    </row>
    <row r="14" spans="1:11" hidden="1">
      <c r="A14" s="7">
        <v>44896</v>
      </c>
      <c r="B14" s="21" t="s">
        <v>75</v>
      </c>
      <c r="C14" s="8" t="s">
        <v>76</v>
      </c>
      <c r="D14" s="8" t="s">
        <v>77</v>
      </c>
      <c r="E14" s="8" t="s">
        <v>78</v>
      </c>
      <c r="F14" s="8" t="s">
        <v>79</v>
      </c>
      <c r="G14" s="8" t="s">
        <v>15</v>
      </c>
      <c r="H14" s="8" t="s">
        <v>32</v>
      </c>
      <c r="I14" s="23" t="s">
        <v>39</v>
      </c>
      <c r="J14" s="24" t="str">
        <f>_xlfn.XLOOKUP(B14,Sheet!A:A,Sheet!B:B,FALSE,)</f>
        <v>carly@synthesis.co.za</v>
      </c>
      <c r="K14" s="24" t="str">
        <f>_xlfn.XLOOKUP(B14,Sheet!A:A,Sheet!C:C,FALSE,)</f>
        <v>0797855692</v>
      </c>
    </row>
    <row r="15" spans="1:11" hidden="1">
      <c r="A15" s="7">
        <v>44805</v>
      </c>
      <c r="B15" s="21" t="s">
        <v>80</v>
      </c>
      <c r="C15" s="8" t="s">
        <v>81</v>
      </c>
      <c r="D15" s="8" t="s">
        <v>82</v>
      </c>
      <c r="E15" s="8" t="s">
        <v>20</v>
      </c>
      <c r="F15" s="8" t="s">
        <v>83</v>
      </c>
      <c r="G15" s="8" t="s">
        <v>84</v>
      </c>
      <c r="H15" s="8" t="s">
        <v>32</v>
      </c>
      <c r="I15" s="23" t="s">
        <v>39</v>
      </c>
      <c r="J15" s="24" t="str">
        <f>_xlfn.XLOOKUP(B15,Sheet!A:A,Sheet!B:B,FALSE,)</f>
        <v>cleorese@synthesis.co.za</v>
      </c>
      <c r="K15" s="24" t="str">
        <f>_xlfn.XLOOKUP(B15,Sheet!A:A,Sheet!C:C,FALSE,)</f>
        <v>0607978655</v>
      </c>
    </row>
    <row r="16" spans="1:11" hidden="1">
      <c r="A16" s="7">
        <v>42493</v>
      </c>
      <c r="B16" s="21" t="s">
        <v>85</v>
      </c>
      <c r="C16" s="8" t="s">
        <v>86</v>
      </c>
      <c r="D16" s="8" t="s">
        <v>87</v>
      </c>
      <c r="E16" s="8" t="s">
        <v>60</v>
      </c>
      <c r="F16" s="8" t="s">
        <v>88</v>
      </c>
      <c r="G16" s="8" t="s">
        <v>15</v>
      </c>
      <c r="H16" s="8" t="s">
        <v>16</v>
      </c>
      <c r="I16" s="23" t="s">
        <v>89</v>
      </c>
      <c r="J16" s="24" t="str">
        <f>_xlfn.XLOOKUP(B16,Sheet!A:A,Sheet!B:B,FALSE,)</f>
        <v>darren@synthesis.co.za</v>
      </c>
      <c r="K16" s="24" t="str">
        <f>_xlfn.XLOOKUP(B16,Sheet!A:A,Sheet!C:C,FALSE,)</f>
        <v>0827833713</v>
      </c>
    </row>
    <row r="17" spans="1:11" hidden="1">
      <c r="A17" s="7">
        <v>44816</v>
      </c>
      <c r="B17" s="21" t="s">
        <v>90</v>
      </c>
      <c r="C17" s="8" t="s">
        <v>91</v>
      </c>
      <c r="D17" s="8" t="s">
        <v>92</v>
      </c>
      <c r="E17" s="8" t="s">
        <v>93</v>
      </c>
      <c r="F17" s="8" t="s">
        <v>94</v>
      </c>
      <c r="G17" s="8" t="s">
        <v>15</v>
      </c>
      <c r="H17" s="8" t="s">
        <v>32</v>
      </c>
      <c r="I17" s="23" t="s">
        <v>51</v>
      </c>
      <c r="J17" s="24" t="str">
        <f>_xlfn.XLOOKUP(B17,Sheet!A:A,Sheet!B:B,FALSE,)</f>
        <v>debbie@synthesis.co.za</v>
      </c>
      <c r="K17" s="24" t="str">
        <f>_xlfn.XLOOKUP(B17,Sheet!A:A,Sheet!C:C,FALSE,)</f>
        <v>0823812577</v>
      </c>
    </row>
    <row r="18" spans="1:11" hidden="1">
      <c r="A18" s="7">
        <v>43832</v>
      </c>
      <c r="B18" s="21" t="s">
        <v>95</v>
      </c>
      <c r="C18" s="8" t="s">
        <v>96</v>
      </c>
      <c r="D18" s="8" t="s">
        <v>97</v>
      </c>
      <c r="E18" s="8" t="s">
        <v>20</v>
      </c>
      <c r="F18" s="8" t="s">
        <v>61</v>
      </c>
      <c r="G18" s="8" t="s">
        <v>15</v>
      </c>
      <c r="H18" s="8" t="s">
        <v>16</v>
      </c>
      <c r="I18" s="23" t="s">
        <v>98</v>
      </c>
      <c r="J18" s="24" t="str">
        <f>_xlfn.XLOOKUP(B18,Sheet!A:A,Sheet!B:B,FALSE,)</f>
        <v>declan@synthesis.co.za</v>
      </c>
      <c r="K18" s="24" t="str">
        <f>_xlfn.XLOOKUP(B18,Sheet!A:A,Sheet!C:C,FALSE,)</f>
        <v>0760458979</v>
      </c>
    </row>
    <row r="19" spans="1:11" hidden="1">
      <c r="A19" s="7">
        <v>44593</v>
      </c>
      <c r="B19" s="21" t="s">
        <v>99</v>
      </c>
      <c r="C19" s="8" t="s">
        <v>100</v>
      </c>
      <c r="D19" s="8" t="s">
        <v>101</v>
      </c>
      <c r="E19" s="8" t="s">
        <v>60</v>
      </c>
      <c r="F19" s="8" t="s">
        <v>102</v>
      </c>
      <c r="G19" s="8" t="s">
        <v>50</v>
      </c>
      <c r="H19" s="8" t="s">
        <v>16</v>
      </c>
      <c r="I19" s="23" t="s">
        <v>51</v>
      </c>
      <c r="J19" s="24" t="str">
        <f>_xlfn.XLOOKUP(B19,Sheet!A:A,Sheet!B:B,FALSE,)</f>
        <v>duncan@synthesis.co.za</v>
      </c>
      <c r="K19" s="24" t="str">
        <f>_xlfn.XLOOKUP(B19,Sheet!A:A,Sheet!C:C,FALSE,)</f>
        <v>0714660500</v>
      </c>
    </row>
    <row r="20" spans="1:11" hidden="1">
      <c r="A20" s="7">
        <v>42125</v>
      </c>
      <c r="B20" s="21" t="s">
        <v>103</v>
      </c>
      <c r="C20" s="8" t="s">
        <v>104</v>
      </c>
      <c r="D20" s="8" t="s">
        <v>105</v>
      </c>
      <c r="E20" s="8" t="s">
        <v>20</v>
      </c>
      <c r="F20" s="8" t="s">
        <v>106</v>
      </c>
      <c r="G20" s="8" t="s">
        <v>15</v>
      </c>
      <c r="H20" s="8" t="s">
        <v>16</v>
      </c>
      <c r="I20" s="23" t="s">
        <v>89</v>
      </c>
      <c r="J20" s="24" t="str">
        <f>_xlfn.XLOOKUP(B20,Sheet!A:A,Sheet!B:B,FALSE,)</f>
        <v>dean@synthesis.co.za</v>
      </c>
      <c r="K20" s="24" t="str">
        <f>_xlfn.XLOOKUP(B20,Sheet!A:A,Sheet!C:C,FALSE,)</f>
        <v>0722575441</v>
      </c>
    </row>
    <row r="21" spans="1:11" hidden="1">
      <c r="A21" s="7">
        <v>43832</v>
      </c>
      <c r="B21" s="21" t="s">
        <v>107</v>
      </c>
      <c r="C21" s="8" t="s">
        <v>108</v>
      </c>
      <c r="D21" s="8" t="s">
        <v>105</v>
      </c>
      <c r="E21" s="8" t="s">
        <v>43</v>
      </c>
      <c r="F21" s="8" t="s">
        <v>109</v>
      </c>
      <c r="G21" s="8" t="s">
        <v>15</v>
      </c>
      <c r="H21" s="8" t="s">
        <v>16</v>
      </c>
      <c r="I21" s="23" t="s">
        <v>51</v>
      </c>
      <c r="J21" s="24" t="str">
        <f>_xlfn.XLOOKUP(B21,Sheet!A:A,Sheet!B:B,FALSE,)</f>
        <v>damien@synthesis.co.za</v>
      </c>
      <c r="K21" s="24" t="str">
        <f>_xlfn.XLOOKUP(B21,Sheet!A:A,Sheet!C:C,FALSE,)</f>
        <v>0780592626</v>
      </c>
    </row>
    <row r="22" spans="1:11">
      <c r="A22" s="7">
        <v>44046</v>
      </c>
      <c r="B22" s="21" t="s">
        <v>110</v>
      </c>
      <c r="C22" s="8" t="s">
        <v>111</v>
      </c>
      <c r="D22" s="8" t="s">
        <v>112</v>
      </c>
      <c r="E22" s="8" t="s">
        <v>113</v>
      </c>
      <c r="F22" s="8" t="s">
        <v>114</v>
      </c>
      <c r="G22" s="8" t="s">
        <v>22</v>
      </c>
      <c r="H22" s="8" t="s">
        <v>32</v>
      </c>
      <c r="I22" s="23" t="s">
        <v>51</v>
      </c>
      <c r="J22" s="24" t="str">
        <f>_xlfn.XLOOKUP(B22,Sheet!A:A,Sheet!B:B,FALSE,)</f>
        <v>devina@synthesis.co.za</v>
      </c>
      <c r="K22" s="24" t="str">
        <f>_xlfn.XLOOKUP(B22,Sheet!A:A,Sheet!C:C,FALSE,)</f>
        <v>0721058892</v>
      </c>
    </row>
    <row r="23" spans="1:11" hidden="1">
      <c r="A23" s="7">
        <v>43466</v>
      </c>
      <c r="B23" s="21" t="s">
        <v>115</v>
      </c>
      <c r="C23" s="8" t="s">
        <v>116</v>
      </c>
      <c r="D23" s="8" t="s">
        <v>117</v>
      </c>
      <c r="E23" s="8" t="s">
        <v>55</v>
      </c>
      <c r="F23" s="8" t="s">
        <v>118</v>
      </c>
      <c r="G23" s="8" t="s">
        <v>15</v>
      </c>
      <c r="H23" s="8" t="s">
        <v>32</v>
      </c>
      <c r="I23" s="23" t="s">
        <v>51</v>
      </c>
      <c r="J23" s="24" t="str">
        <f>_xlfn.XLOOKUP(B23,Sheet!A:A,Sheet!B:B,FALSE,)</f>
        <v>denieke@synthesis.co.za</v>
      </c>
      <c r="K23" s="24" t="str">
        <f>_xlfn.XLOOKUP(B23,Sheet!A:A,Sheet!C:C,FALSE,)</f>
        <v>0726828276</v>
      </c>
    </row>
    <row r="24" spans="1:11" hidden="1">
      <c r="A24" s="7">
        <v>43160</v>
      </c>
      <c r="B24" s="21" t="s">
        <v>119</v>
      </c>
      <c r="C24" s="8" t="s">
        <v>120</v>
      </c>
      <c r="D24" s="8" t="s">
        <v>121</v>
      </c>
      <c r="E24" s="8" t="s">
        <v>73</v>
      </c>
      <c r="F24" s="8" t="s">
        <v>122</v>
      </c>
      <c r="G24" s="8" t="s">
        <v>15</v>
      </c>
      <c r="H24" s="8" t="s">
        <v>16</v>
      </c>
      <c r="I24" s="23" t="s">
        <v>51</v>
      </c>
      <c r="J24" s="24" t="str">
        <f>_xlfn.XLOOKUP(B24,Sheet!A:A,Sheet!B:B,FALSE,)</f>
        <v>ernst@synthesis.co.za</v>
      </c>
      <c r="K24" s="24" t="str">
        <f>_xlfn.XLOOKUP(B24,Sheet!A:A,Sheet!C:C,FALSE,)</f>
        <v>0732078897</v>
      </c>
    </row>
    <row r="25" spans="1:11" hidden="1">
      <c r="A25" s="7">
        <v>43709</v>
      </c>
      <c r="B25" s="21" t="s">
        <v>123</v>
      </c>
      <c r="C25" s="8" t="s">
        <v>124</v>
      </c>
      <c r="D25" s="8" t="s">
        <v>125</v>
      </c>
      <c r="E25" s="8" t="s">
        <v>48</v>
      </c>
      <c r="F25" s="8" t="s">
        <v>109</v>
      </c>
      <c r="G25" s="8" t="s">
        <v>15</v>
      </c>
      <c r="H25" s="8" t="s">
        <v>16</v>
      </c>
      <c r="I25" s="23" t="s">
        <v>33</v>
      </c>
      <c r="J25" s="24" t="str">
        <f>_xlfn.XLOOKUP(B25,Sheet!A:A,Sheet!B:B,FALSE,)</f>
        <v>rodney@synthesis.co.za</v>
      </c>
      <c r="K25" s="24" t="str">
        <f>_xlfn.XLOOKUP(B25,Sheet!A:A,Sheet!C:C,FALSE,)</f>
        <v>0824937062</v>
      </c>
    </row>
    <row r="26" spans="1:11" hidden="1">
      <c r="A26" s="7">
        <v>43678</v>
      </c>
      <c r="B26" s="21" t="s">
        <v>126</v>
      </c>
      <c r="C26" s="8" t="s">
        <v>127</v>
      </c>
      <c r="D26" s="8" t="s">
        <v>128</v>
      </c>
      <c r="E26" s="8" t="s">
        <v>73</v>
      </c>
      <c r="F26" s="8" t="s">
        <v>122</v>
      </c>
      <c r="G26" s="8" t="s">
        <v>15</v>
      </c>
      <c r="H26" s="8" t="s">
        <v>16</v>
      </c>
      <c r="I26" s="23" t="s">
        <v>51</v>
      </c>
      <c r="J26" s="24" t="str">
        <f>_xlfn.XLOOKUP(B26,Sheet!A:A,Sheet!B:B,FALSE,)</f>
        <v>francois@synthesis.co.za</v>
      </c>
      <c r="K26" s="24" t="str">
        <f>_xlfn.XLOOKUP(B26,Sheet!A:A,Sheet!C:C,FALSE,)</f>
        <v>0798742916</v>
      </c>
    </row>
    <row r="27" spans="1:11" hidden="1">
      <c r="A27" s="7">
        <v>43479</v>
      </c>
      <c r="B27" s="21" t="s">
        <v>129</v>
      </c>
      <c r="C27" s="8" t="s">
        <v>130</v>
      </c>
      <c r="D27" s="8" t="s">
        <v>131</v>
      </c>
      <c r="E27" s="8" t="s">
        <v>43</v>
      </c>
      <c r="F27" s="8" t="s">
        <v>132</v>
      </c>
      <c r="G27" s="8" t="s">
        <v>15</v>
      </c>
      <c r="H27" s="8" t="s">
        <v>16</v>
      </c>
      <c r="I27" s="23" t="s">
        <v>98</v>
      </c>
      <c r="J27" s="24" t="str">
        <f>_xlfn.XLOOKUP(B27,Sheet!A:A,Sheet!B:B,FALSE,)</f>
        <v>gareth@synthesis.co.za</v>
      </c>
      <c r="K27" s="24" t="str">
        <f>_xlfn.XLOOKUP(B27,Sheet!A:A,Sheet!C:C,FALSE,)</f>
        <v>0834269561</v>
      </c>
    </row>
    <row r="28" spans="1:11" hidden="1">
      <c r="A28" s="7">
        <v>39279</v>
      </c>
      <c r="B28" s="21" t="s">
        <v>133</v>
      </c>
      <c r="C28" s="8" t="s">
        <v>134</v>
      </c>
      <c r="D28" s="8" t="s">
        <v>135</v>
      </c>
      <c r="E28" s="8" t="s">
        <v>93</v>
      </c>
      <c r="F28" s="8" t="s">
        <v>122</v>
      </c>
      <c r="G28" s="8" t="s">
        <v>15</v>
      </c>
      <c r="H28" s="8" t="s">
        <v>16</v>
      </c>
      <c r="I28" s="23" t="s">
        <v>33</v>
      </c>
      <c r="J28" s="24" t="str">
        <f>_xlfn.XLOOKUP(B28,Sheet!A:A,Sheet!B:B,FALSE,)</f>
        <v>garth@synthesis.co.za</v>
      </c>
      <c r="K28" s="24" t="str">
        <f>_xlfn.XLOOKUP(B28,Sheet!A:A,Sheet!C:C,FALSE,)</f>
        <v>0670536138</v>
      </c>
    </row>
    <row r="29" spans="1:11" hidden="1">
      <c r="A29" s="7">
        <v>44652</v>
      </c>
      <c r="B29" s="21" t="s">
        <v>136</v>
      </c>
      <c r="C29" s="8" t="s">
        <v>137</v>
      </c>
      <c r="D29" s="8" t="s">
        <v>138</v>
      </c>
      <c r="E29" s="8" t="s">
        <v>93</v>
      </c>
      <c r="F29" s="8" t="s">
        <v>139</v>
      </c>
      <c r="G29" s="8" t="s">
        <v>22</v>
      </c>
      <c r="H29" s="8" t="s">
        <v>32</v>
      </c>
      <c r="I29" s="23" t="s">
        <v>89</v>
      </c>
      <c r="J29" s="24" t="str">
        <f>_xlfn.XLOOKUP(B29,Sheet!A:A,Sheet!B:B,FALSE,)</f>
        <v>harsha@synthesis.co.za</v>
      </c>
      <c r="K29" s="24" t="str">
        <f>_xlfn.XLOOKUP(B29,Sheet!A:A,Sheet!C:C,FALSE,)</f>
        <v>0618850538</v>
      </c>
    </row>
    <row r="30" spans="1:11" hidden="1">
      <c r="A30" s="7">
        <v>44562</v>
      </c>
      <c r="B30" s="21" t="s">
        <v>140</v>
      </c>
      <c r="C30" s="8" t="s">
        <v>141</v>
      </c>
      <c r="D30" s="8" t="s">
        <v>142</v>
      </c>
      <c r="E30" s="8" t="s">
        <v>55</v>
      </c>
      <c r="F30" s="8" t="s">
        <v>143</v>
      </c>
      <c r="G30" s="8" t="s">
        <v>22</v>
      </c>
      <c r="H30" s="8" t="s">
        <v>16</v>
      </c>
      <c r="I30" s="23" t="s">
        <v>39</v>
      </c>
      <c r="J30" s="24" t="str">
        <f>_xlfn.XLOOKUP(B30,Sheet!A:A,Sheet!B:B,FALSE,)</f>
        <v>harshil@synthesis.co.za</v>
      </c>
      <c r="K30" s="24" t="str">
        <f>_xlfn.XLOOKUP(B30,Sheet!A:A,Sheet!C:C,FALSE,)</f>
        <v>0844983176</v>
      </c>
    </row>
    <row r="31" spans="1:11" hidden="1">
      <c r="A31" s="7">
        <v>44501</v>
      </c>
      <c r="B31" s="21" t="s">
        <v>144</v>
      </c>
      <c r="C31" s="8" t="s">
        <v>145</v>
      </c>
      <c r="D31" s="8" t="s">
        <v>146</v>
      </c>
      <c r="E31" s="8" t="s">
        <v>78</v>
      </c>
      <c r="F31" s="8" t="s">
        <v>147</v>
      </c>
      <c r="G31" s="8" t="s">
        <v>15</v>
      </c>
      <c r="H31" s="8" t="s">
        <v>32</v>
      </c>
      <c r="I31" s="23" t="s">
        <v>51</v>
      </c>
      <c r="J31" s="24" t="str">
        <f>_xlfn.XLOOKUP(B31,Sheet!A:A,Sheet!B:B,FALSE,)</f>
        <v>jessica-may@synthesis.co.za</v>
      </c>
      <c r="K31" s="24" t="str">
        <f>_xlfn.XLOOKUP(B31,Sheet!A:A,Sheet!C:C,FALSE,)</f>
        <v>0725203336</v>
      </c>
    </row>
    <row r="32" spans="1:11" hidden="1">
      <c r="A32" s="7">
        <v>42219</v>
      </c>
      <c r="B32" s="21" t="s">
        <v>148</v>
      </c>
      <c r="C32" s="8" t="s">
        <v>149</v>
      </c>
      <c r="D32" s="8" t="s">
        <v>150</v>
      </c>
      <c r="E32" s="8" t="s">
        <v>151</v>
      </c>
      <c r="F32" s="8" t="s">
        <v>152</v>
      </c>
      <c r="G32" s="8" t="s">
        <v>15</v>
      </c>
      <c r="H32" s="8" t="s">
        <v>16</v>
      </c>
      <c r="I32" s="23" t="s">
        <v>23</v>
      </c>
      <c r="J32" s="24" t="str">
        <f>_xlfn.XLOOKUP(B32,Sheet!A:A,Sheet!B:B,FALSE,)</f>
        <v>james@synthesis.co.za</v>
      </c>
      <c r="K32" s="24" t="str">
        <f>_xlfn.XLOOKUP(B32,Sheet!A:A,Sheet!C:C,FALSE,)</f>
        <v>0662578433</v>
      </c>
    </row>
    <row r="33" spans="1:11" hidden="1">
      <c r="A33" s="7">
        <v>44562</v>
      </c>
      <c r="B33" s="21" t="s">
        <v>153</v>
      </c>
      <c r="C33" s="8" t="s">
        <v>154</v>
      </c>
      <c r="D33" s="8" t="s">
        <v>155</v>
      </c>
      <c r="E33" s="8" t="s">
        <v>73</v>
      </c>
      <c r="F33" s="8" t="s">
        <v>156</v>
      </c>
      <c r="G33" s="8" t="s">
        <v>15</v>
      </c>
      <c r="H33" s="8" t="s">
        <v>16</v>
      </c>
      <c r="I33" s="23" t="s">
        <v>39</v>
      </c>
      <c r="J33" s="24" t="str">
        <f>_xlfn.XLOOKUP(B33,Sheet!A:A,Sheet!B:B,FALSE,)</f>
        <v>jayden@synthesis.co.za</v>
      </c>
      <c r="K33" s="24" t="str">
        <f>_xlfn.XLOOKUP(B33,Sheet!A:A,Sheet!C:C,FALSE,)</f>
        <v>0794134051</v>
      </c>
    </row>
    <row r="34" spans="1:11" hidden="1">
      <c r="A34" s="7">
        <v>43878</v>
      </c>
      <c r="B34" s="21" t="s">
        <v>157</v>
      </c>
      <c r="C34" s="8" t="s">
        <v>158</v>
      </c>
      <c r="D34" s="8" t="s">
        <v>159</v>
      </c>
      <c r="E34" s="8" t="s">
        <v>43</v>
      </c>
      <c r="F34" s="8" t="s">
        <v>160</v>
      </c>
      <c r="G34" s="8" t="s">
        <v>15</v>
      </c>
      <c r="H34" s="8" t="s">
        <v>16</v>
      </c>
      <c r="I34" s="23" t="s">
        <v>161</v>
      </c>
      <c r="J34" s="24" t="str">
        <f>_xlfn.XLOOKUP(B34,Sheet!A:A,Sheet!B:B,FALSE,)</f>
        <v>jonathanj@synthesis.co.za</v>
      </c>
      <c r="K34" s="24" t="str">
        <f>_xlfn.XLOOKUP(B34,Sheet!A:A,Sheet!C:C,FALSE,)</f>
        <v>0741550219</v>
      </c>
    </row>
    <row r="35" spans="1:11" hidden="1">
      <c r="A35" s="7">
        <v>43466</v>
      </c>
      <c r="B35" s="21" t="s">
        <v>162</v>
      </c>
      <c r="C35" s="8" t="s">
        <v>158</v>
      </c>
      <c r="D35" s="8" t="s">
        <v>163</v>
      </c>
      <c r="E35" s="8" t="s">
        <v>60</v>
      </c>
      <c r="F35" s="8" t="s">
        <v>61</v>
      </c>
      <c r="G35" s="8" t="s">
        <v>15</v>
      </c>
      <c r="H35" s="8" t="s">
        <v>16</v>
      </c>
      <c r="I35" s="23" t="s">
        <v>51</v>
      </c>
      <c r="J35" s="24" t="str">
        <f>_xlfn.XLOOKUP(B35,Sheet!A:A,Sheet!B:B,FALSE,)</f>
        <v>jonathanl@synthesis.co.za</v>
      </c>
      <c r="K35" s="24" t="str">
        <f>_xlfn.XLOOKUP(B35,Sheet!A:A,Sheet!C:C,FALSE,)</f>
        <v>0834501727</v>
      </c>
    </row>
    <row r="36" spans="1:11" hidden="1">
      <c r="A36" s="7">
        <v>42373</v>
      </c>
      <c r="B36" s="21" t="s">
        <v>164</v>
      </c>
      <c r="C36" s="8" t="s">
        <v>165</v>
      </c>
      <c r="D36" s="8" t="s">
        <v>166</v>
      </c>
      <c r="E36" s="8" t="s">
        <v>48</v>
      </c>
      <c r="F36" s="8" t="s">
        <v>167</v>
      </c>
      <c r="G36" s="8" t="s">
        <v>15</v>
      </c>
      <c r="H36" s="8" t="s">
        <v>16</v>
      </c>
      <c r="I36" s="23" t="s">
        <v>33</v>
      </c>
      <c r="J36" s="24" t="str">
        <f>_xlfn.XLOOKUP(B36,Sheet!A:A,Sheet!B:B,FALSE,)</f>
        <v>jared@synthesis.co.za</v>
      </c>
      <c r="K36" s="24" t="str">
        <f>_xlfn.XLOOKUP(B36,Sheet!A:A,Sheet!C:C,FALSE,)</f>
        <v>0761151332</v>
      </c>
    </row>
    <row r="37" spans="1:11" hidden="1">
      <c r="A37" s="7">
        <v>43678</v>
      </c>
      <c r="B37" s="21" t="s">
        <v>168</v>
      </c>
      <c r="C37" s="8" t="s">
        <v>169</v>
      </c>
      <c r="D37" s="8" t="s">
        <v>170</v>
      </c>
      <c r="E37" s="8" t="s">
        <v>73</v>
      </c>
      <c r="F37" s="8" t="s">
        <v>122</v>
      </c>
      <c r="G37" s="8" t="s">
        <v>15</v>
      </c>
      <c r="H37" s="8" t="s">
        <v>16</v>
      </c>
      <c r="I37" s="23" t="s">
        <v>51</v>
      </c>
      <c r="J37" s="24" t="str">
        <f>_xlfn.XLOOKUP(B37,Sheet!A:A,Sheet!B:B,FALSE,)</f>
        <v>johan@synthesis.co.za</v>
      </c>
      <c r="K37" s="24" t="str">
        <f>_xlfn.XLOOKUP(B37,Sheet!A:A,Sheet!C:C,FALSE,)</f>
        <v>0764233165</v>
      </c>
    </row>
    <row r="38" spans="1:11" hidden="1">
      <c r="A38" s="7">
        <v>42705</v>
      </c>
      <c r="B38" s="21" t="s">
        <v>171</v>
      </c>
      <c r="C38" s="8" t="s">
        <v>158</v>
      </c>
      <c r="D38" s="8" t="s">
        <v>172</v>
      </c>
      <c r="E38" s="8" t="s">
        <v>20</v>
      </c>
      <c r="F38" s="8" t="s">
        <v>61</v>
      </c>
      <c r="G38" s="8" t="s">
        <v>15</v>
      </c>
      <c r="H38" s="8" t="s">
        <v>16</v>
      </c>
      <c r="I38" s="23" t="s">
        <v>161</v>
      </c>
      <c r="J38" s="24" t="str">
        <f>_xlfn.XLOOKUP(B38,Sheet!A:A,Sheet!B:B,FALSE,)</f>
        <v>jonathan@synthesis.co.za</v>
      </c>
      <c r="K38" s="24" t="str">
        <f>_xlfn.XLOOKUP(B38,Sheet!A:A,Sheet!C:C,FALSE,)</f>
        <v>0734452107</v>
      </c>
    </row>
    <row r="39" spans="1:11" hidden="1">
      <c r="A39" s="7">
        <v>44197</v>
      </c>
      <c r="B39" s="21" t="s">
        <v>173</v>
      </c>
      <c r="C39" s="8" t="s">
        <v>174</v>
      </c>
      <c r="D39" s="8" t="s">
        <v>135</v>
      </c>
      <c r="E39" s="8" t="s">
        <v>73</v>
      </c>
      <c r="F39" s="8" t="s">
        <v>109</v>
      </c>
      <c r="G39" s="8" t="s">
        <v>15</v>
      </c>
      <c r="H39" s="8" t="s">
        <v>16</v>
      </c>
      <c r="I39" s="23" t="s">
        <v>175</v>
      </c>
      <c r="J39" s="24" t="str">
        <f>_xlfn.XLOOKUP(B39,Sheet!A:A,Sheet!B:B,FALSE,)</f>
        <v>jordan@synthesis.co.za</v>
      </c>
      <c r="K39" s="24" t="str">
        <f>_xlfn.XLOOKUP(B39,Sheet!A:A,Sheet!C:C,FALSE,)</f>
        <v>0712292603</v>
      </c>
    </row>
    <row r="40" spans="1:11" hidden="1">
      <c r="A40" s="7">
        <v>40603</v>
      </c>
      <c r="B40" s="21" t="s">
        <v>176</v>
      </c>
      <c r="C40" s="8" t="s">
        <v>177</v>
      </c>
      <c r="D40" s="8" t="s">
        <v>178</v>
      </c>
      <c r="E40" s="8" t="s">
        <v>73</v>
      </c>
      <c r="F40" s="8" t="s">
        <v>179</v>
      </c>
      <c r="G40" s="8" t="s">
        <v>15</v>
      </c>
      <c r="H40" s="8" t="s">
        <v>32</v>
      </c>
      <c r="I40" s="23" t="s">
        <v>33</v>
      </c>
      <c r="J40" s="24" t="str">
        <f>_xlfn.XLOOKUP(B40,Sheet!A:A,Sheet!B:B,FALSE,)</f>
        <v>jeanette@synthesis.co.za</v>
      </c>
      <c r="K40" s="24" t="str">
        <f>_xlfn.XLOOKUP(B40,Sheet!A:A,Sheet!C:C,FALSE,)</f>
        <v>0715878835</v>
      </c>
    </row>
    <row r="41" spans="1:11" hidden="1">
      <c r="A41" s="7">
        <v>42125</v>
      </c>
      <c r="B41" s="21" t="s">
        <v>180</v>
      </c>
      <c r="C41" s="8" t="s">
        <v>181</v>
      </c>
      <c r="D41" s="8" t="s">
        <v>182</v>
      </c>
      <c r="E41" s="8" t="s">
        <v>30</v>
      </c>
      <c r="F41" s="8" t="s">
        <v>183</v>
      </c>
      <c r="G41" s="8" t="s">
        <v>15</v>
      </c>
      <c r="H41" s="8" t="s">
        <v>16</v>
      </c>
      <c r="I41" s="23" t="s">
        <v>33</v>
      </c>
      <c r="J41" s="24" t="str">
        <f>_xlfn.XLOOKUP(B41,Sheet!A:A,Sheet!B:B,FALSE,)</f>
        <v>kieron@synthesis.co.za</v>
      </c>
      <c r="K41" s="24" t="str">
        <f>_xlfn.XLOOKUP(B41,Sheet!A:A,Sheet!C:C,FALSE,)</f>
        <v>0846987203</v>
      </c>
    </row>
    <row r="42" spans="1:11" hidden="1">
      <c r="A42" s="7">
        <v>44562</v>
      </c>
      <c r="B42" s="21" t="s">
        <v>184</v>
      </c>
      <c r="C42" s="8" t="s">
        <v>185</v>
      </c>
      <c r="D42" s="8" t="s">
        <v>186</v>
      </c>
      <c r="E42" s="8" t="s">
        <v>73</v>
      </c>
      <c r="F42" s="8" t="s">
        <v>156</v>
      </c>
      <c r="G42" s="8" t="s">
        <v>15</v>
      </c>
      <c r="H42" s="8" t="s">
        <v>16</v>
      </c>
      <c r="I42" s="23" t="s">
        <v>39</v>
      </c>
      <c r="J42" s="24" t="str">
        <f>_xlfn.XLOOKUP(B42,Sheet!A:A,Sheet!B:B,FALSE,)</f>
        <v>kyle@synthesis.co.za</v>
      </c>
      <c r="K42" s="24" t="str">
        <f>_xlfn.XLOOKUP(B42,Sheet!A:A,Sheet!C:C,FALSE,)</f>
        <v>0828762627</v>
      </c>
    </row>
    <row r="43" spans="1:11">
      <c r="A43" s="7">
        <v>44835</v>
      </c>
      <c r="B43" s="21" t="s">
        <v>187</v>
      </c>
      <c r="C43" s="8" t="s">
        <v>188</v>
      </c>
      <c r="D43" s="8" t="s">
        <v>189</v>
      </c>
      <c r="E43" s="8" t="s">
        <v>113</v>
      </c>
      <c r="F43" s="8" t="s">
        <v>114</v>
      </c>
      <c r="G43" s="8" t="s">
        <v>84</v>
      </c>
      <c r="H43" s="8" t="s">
        <v>16</v>
      </c>
      <c r="I43" s="23" t="s">
        <v>39</v>
      </c>
      <c r="J43" s="24" t="str">
        <f>_xlfn.XLOOKUP(B43,Sheet!A:A,Sheet!B:B,FALSE,)</f>
        <v>konrad@synthesis.co.za</v>
      </c>
      <c r="K43" s="24" t="str">
        <f>_xlfn.XLOOKUP(B43,Sheet!A:A,Sheet!C:C,FALSE,)</f>
        <v>0849901099</v>
      </c>
    </row>
    <row r="44" spans="1:11" hidden="1">
      <c r="A44" s="7">
        <v>44531</v>
      </c>
      <c r="B44" s="21" t="s">
        <v>190</v>
      </c>
      <c r="C44" s="8" t="s">
        <v>191</v>
      </c>
      <c r="D44" s="8" t="s">
        <v>192</v>
      </c>
      <c r="E44" s="8" t="s">
        <v>73</v>
      </c>
      <c r="F44" s="8" t="s">
        <v>122</v>
      </c>
      <c r="G44" s="8" t="s">
        <v>50</v>
      </c>
      <c r="H44" s="8" t="s">
        <v>16</v>
      </c>
      <c r="I44" s="23" t="s">
        <v>51</v>
      </c>
      <c r="J44" s="24" t="str">
        <f>_xlfn.XLOOKUP(B44,Sheet!A:A,Sheet!B:B,FALSE,)</f>
        <v>kudzai@synthesis.co.za</v>
      </c>
      <c r="K44" s="24" t="str">
        <f>_xlfn.XLOOKUP(B44,Sheet!A:A,Sheet!C:C,FALSE,)</f>
        <v>0833440181</v>
      </c>
    </row>
    <row r="45" spans="1:11" hidden="1">
      <c r="A45" s="7">
        <v>44788</v>
      </c>
      <c r="B45" s="21" t="s">
        <v>193</v>
      </c>
      <c r="C45" s="8" t="s">
        <v>194</v>
      </c>
      <c r="D45" s="8" t="s">
        <v>195</v>
      </c>
      <c r="E45" s="8" t="s">
        <v>78</v>
      </c>
      <c r="F45" s="8" t="s">
        <v>147</v>
      </c>
      <c r="G45" s="8" t="s">
        <v>22</v>
      </c>
      <c r="H45" s="8" t="s">
        <v>32</v>
      </c>
      <c r="I45" s="23" t="s">
        <v>51</v>
      </c>
      <c r="J45" s="24" t="str">
        <f>_xlfn.XLOOKUP(B45,Sheet!A:A,Sheet!B:B,FALSE,)</f>
        <v>kovishnee@synthesis.co.za</v>
      </c>
      <c r="K45" s="24" t="str">
        <f>_xlfn.XLOOKUP(B45,Sheet!A:A,Sheet!C:C,FALSE,)</f>
        <v>0820777091</v>
      </c>
    </row>
    <row r="46" spans="1:11" hidden="1">
      <c r="A46" s="7">
        <v>44743</v>
      </c>
      <c r="B46" s="21" t="s">
        <v>196</v>
      </c>
      <c r="C46" s="8" t="s">
        <v>197</v>
      </c>
      <c r="D46" s="8" t="s">
        <v>198</v>
      </c>
      <c r="E46" s="8" t="s">
        <v>151</v>
      </c>
      <c r="F46" s="8" t="s">
        <v>199</v>
      </c>
      <c r="G46" s="8" t="s">
        <v>50</v>
      </c>
      <c r="H46" s="8" t="s">
        <v>16</v>
      </c>
      <c r="I46" s="23" t="s">
        <v>51</v>
      </c>
      <c r="J46" s="24" t="str">
        <f>_xlfn.XLOOKUP(B46,Sheet!A:A,Sheet!B:B,FALSE,)</f>
        <v>kgomotso@synthesis.co.za</v>
      </c>
      <c r="K46" s="24" t="str">
        <f>_xlfn.XLOOKUP(B46,Sheet!A:A,Sheet!C:C,FALSE,)</f>
        <v>0817116401</v>
      </c>
    </row>
    <row r="47" spans="1:11" hidden="1">
      <c r="A47" s="7">
        <v>43282</v>
      </c>
      <c r="B47" s="21" t="s">
        <v>200</v>
      </c>
      <c r="C47" s="8" t="s">
        <v>201</v>
      </c>
      <c r="D47" s="8" t="s">
        <v>202</v>
      </c>
      <c r="E47" s="8" t="s">
        <v>73</v>
      </c>
      <c r="F47" s="8" t="s">
        <v>122</v>
      </c>
      <c r="G47" s="8" t="s">
        <v>15</v>
      </c>
      <c r="H47" s="8" t="s">
        <v>16</v>
      </c>
      <c r="I47" s="23" t="s">
        <v>51</v>
      </c>
      <c r="J47" s="24" t="str">
        <f>_xlfn.XLOOKUP(B47,Sheet!A:A,Sheet!B:B,FALSE,)</f>
        <v>lukeh@synthesis.co.za</v>
      </c>
      <c r="K47" s="24" t="str">
        <f>_xlfn.XLOOKUP(B47,Sheet!A:A,Sheet!C:C,FALSE,)</f>
        <v>0728435389</v>
      </c>
    </row>
    <row r="48" spans="1:11" hidden="1">
      <c r="A48" s="7">
        <v>43836</v>
      </c>
      <c r="B48" s="21" t="s">
        <v>203</v>
      </c>
      <c r="C48" s="8" t="s">
        <v>204</v>
      </c>
      <c r="D48" s="8" t="s">
        <v>205</v>
      </c>
      <c r="E48" s="8" t="s">
        <v>43</v>
      </c>
      <c r="F48" s="8" t="s">
        <v>122</v>
      </c>
      <c r="G48" s="8" t="s">
        <v>50</v>
      </c>
      <c r="H48" s="8" t="s">
        <v>16</v>
      </c>
      <c r="I48" s="23" t="s">
        <v>51</v>
      </c>
      <c r="J48" s="24" t="str">
        <f>_xlfn.XLOOKUP(B48,Sheet!A:A,Sheet!B:B,FALSE,)</f>
        <v>lesego@synthesis.co.za</v>
      </c>
      <c r="K48" s="24" t="str">
        <f>_xlfn.XLOOKUP(B48,Sheet!A:A,Sheet!C:C,FALSE,)</f>
        <v>0691047806</v>
      </c>
    </row>
    <row r="49" spans="1:11" hidden="1">
      <c r="A49" s="7">
        <v>43891</v>
      </c>
      <c r="B49" s="21" t="s">
        <v>206</v>
      </c>
      <c r="C49" s="8" t="s">
        <v>207</v>
      </c>
      <c r="D49" s="8" t="s">
        <v>208</v>
      </c>
      <c r="E49" s="8" t="s">
        <v>37</v>
      </c>
      <c r="F49" s="8" t="s">
        <v>209</v>
      </c>
      <c r="G49" s="8" t="s">
        <v>50</v>
      </c>
      <c r="H49" s="8" t="s">
        <v>32</v>
      </c>
      <c r="I49" s="23" t="s">
        <v>210</v>
      </c>
      <c r="J49" s="24"/>
      <c r="K49" s="24" t="str">
        <f>_xlfn.XLOOKUP(B49,Sheet!A:A,Sheet!C:C,FALSE,)</f>
        <v>0721791596</v>
      </c>
    </row>
    <row r="50" spans="1:11" hidden="1">
      <c r="A50" s="7">
        <v>41807</v>
      </c>
      <c r="B50" s="21" t="s">
        <v>211</v>
      </c>
      <c r="C50" s="8" t="s">
        <v>212</v>
      </c>
      <c r="D50" s="8" t="s">
        <v>213</v>
      </c>
      <c r="E50" s="8" t="s">
        <v>20</v>
      </c>
      <c r="F50" s="8" t="s">
        <v>214</v>
      </c>
      <c r="G50" s="8" t="s">
        <v>15</v>
      </c>
      <c r="H50" s="8" t="s">
        <v>16</v>
      </c>
      <c r="I50" s="23" t="s">
        <v>33</v>
      </c>
      <c r="J50" s="24" t="str">
        <f>_xlfn.XLOOKUP(B50,Sheet!A:A,Sheet!B:B,FALSE,)</f>
        <v>leandre@synthesis.co.za</v>
      </c>
      <c r="K50" s="24" t="str">
        <f>_xlfn.XLOOKUP(B50,Sheet!A:A,Sheet!C:C,FALSE,)</f>
        <v>0723214345</v>
      </c>
    </row>
    <row r="51" spans="1:11" hidden="1">
      <c r="A51" s="7">
        <v>43132</v>
      </c>
      <c r="B51" s="21" t="s">
        <v>215</v>
      </c>
      <c r="C51" s="8" t="s">
        <v>216</v>
      </c>
      <c r="D51" s="8" t="s">
        <v>217</v>
      </c>
      <c r="E51" s="8" t="s">
        <v>20</v>
      </c>
      <c r="F51" s="8" t="s">
        <v>218</v>
      </c>
      <c r="G51" s="8" t="s">
        <v>15</v>
      </c>
      <c r="H51" s="8" t="s">
        <v>16</v>
      </c>
      <c r="I51" s="23" t="s">
        <v>23</v>
      </c>
      <c r="J51" s="24" t="str">
        <f>_xlfn.XLOOKUP(B51,Sheet!A:A,Sheet!B:B,FALSE,)</f>
        <v>louis-philip@synthesis.co.za</v>
      </c>
      <c r="K51" s="24" t="str">
        <f>_xlfn.XLOOKUP(B51,Sheet!A:A,Sheet!C:C,FALSE,)</f>
        <v>0729985673</v>
      </c>
    </row>
    <row r="52" spans="1:11" hidden="1">
      <c r="A52" s="7">
        <v>42736</v>
      </c>
      <c r="B52" s="21" t="s">
        <v>219</v>
      </c>
      <c r="C52" s="8" t="s">
        <v>220</v>
      </c>
      <c r="D52" s="8" t="s">
        <v>221</v>
      </c>
      <c r="E52" s="8" t="s">
        <v>55</v>
      </c>
      <c r="F52" s="8" t="s">
        <v>222</v>
      </c>
      <c r="G52" s="8" t="s">
        <v>15</v>
      </c>
      <c r="H52" s="8" t="s">
        <v>32</v>
      </c>
      <c r="I52" s="23" t="s">
        <v>51</v>
      </c>
      <c r="J52" s="24" t="str">
        <f>_xlfn.XLOOKUP(B52,Sheet!A:A,Sheet!B:B,FALSE,)</f>
        <v>marinda@synthesis.co.za</v>
      </c>
      <c r="K52" s="24" t="str">
        <f>_xlfn.XLOOKUP(B52,Sheet!A:A,Sheet!C:C,FALSE,)</f>
        <v>0783449276</v>
      </c>
    </row>
    <row r="53" spans="1:11" hidden="1">
      <c r="A53" s="7">
        <v>41316</v>
      </c>
      <c r="B53" s="21" t="s">
        <v>223</v>
      </c>
      <c r="C53" s="8" t="s">
        <v>224</v>
      </c>
      <c r="D53" s="8" t="s">
        <v>225</v>
      </c>
      <c r="E53" s="8" t="s">
        <v>73</v>
      </c>
      <c r="F53" s="8" t="s">
        <v>226</v>
      </c>
      <c r="G53" s="8" t="s">
        <v>15</v>
      </c>
      <c r="H53" s="8" t="s">
        <v>16</v>
      </c>
      <c r="I53" s="23" t="s">
        <v>89</v>
      </c>
      <c r="J53" s="24" t="str">
        <f>_xlfn.XLOOKUP(B53,Sheet!A:A,Sheet!B:B,FALSE,)</f>
        <v>matthew@synthesis.co.za</v>
      </c>
      <c r="K53" s="24" t="str">
        <f>_xlfn.XLOOKUP(B53,Sheet!A:A,Sheet!C:C,FALSE,)</f>
        <v>0833889105</v>
      </c>
    </row>
    <row r="54" spans="1:11" hidden="1">
      <c r="A54" s="7">
        <v>43374</v>
      </c>
      <c r="B54" s="21" t="s">
        <v>227</v>
      </c>
      <c r="C54" s="8" t="s">
        <v>228</v>
      </c>
      <c r="D54" s="8" t="s">
        <v>229</v>
      </c>
      <c r="E54" s="8" t="s">
        <v>230</v>
      </c>
      <c r="F54" s="8" t="s">
        <v>231</v>
      </c>
      <c r="G54" s="8" t="s">
        <v>84</v>
      </c>
      <c r="H54" s="8" t="s">
        <v>32</v>
      </c>
      <c r="I54" s="23" t="s">
        <v>17</v>
      </c>
      <c r="J54" s="24" t="str">
        <f>_xlfn.XLOOKUP(B54,Sheet!A:A,Sheet!B:B,FALSE,)</f>
        <v>michelle@synthesis.co.za</v>
      </c>
      <c r="K54" s="24" t="str">
        <f>_xlfn.XLOOKUP(B54,Sheet!A:A,Sheet!C:C,FALSE,)</f>
        <v>0713515463</v>
      </c>
    </row>
    <row r="55" spans="1:11" hidden="1">
      <c r="A55" s="7">
        <v>44805</v>
      </c>
      <c r="B55" s="21" t="s">
        <v>232</v>
      </c>
      <c r="C55" s="8" t="s">
        <v>11</v>
      </c>
      <c r="D55" s="8" t="s">
        <v>233</v>
      </c>
      <c r="E55" s="8" t="s">
        <v>13</v>
      </c>
      <c r="F55" s="8" t="s">
        <v>234</v>
      </c>
      <c r="G55" s="8" t="s">
        <v>15</v>
      </c>
      <c r="H55" s="8" t="s">
        <v>16</v>
      </c>
      <c r="I55" s="23" t="s">
        <v>98</v>
      </c>
      <c r="J55" s="24" t="str">
        <f>_xlfn.XLOOKUP(B55,Sheet!A:A,Sheet!B:B,FALSE,)</f>
        <v>MikeG@synthesis.co.za</v>
      </c>
      <c r="K55" s="24" t="str">
        <f>_xlfn.XLOOKUP(B55,Sheet!A:A,Sheet!C:C,FALSE,)</f>
        <v>0605597427</v>
      </c>
    </row>
    <row r="56" spans="1:11" hidden="1">
      <c r="A56" s="7">
        <v>43731</v>
      </c>
      <c r="B56" s="21" t="s">
        <v>235</v>
      </c>
      <c r="C56" s="8" t="s">
        <v>236</v>
      </c>
      <c r="D56" s="8" t="s">
        <v>237</v>
      </c>
      <c r="E56" s="8" t="s">
        <v>230</v>
      </c>
      <c r="F56" s="8" t="s">
        <v>238</v>
      </c>
      <c r="G56" s="8" t="s">
        <v>22</v>
      </c>
      <c r="H56" s="8" t="s">
        <v>16</v>
      </c>
      <c r="I56" s="23" t="s">
        <v>239</v>
      </c>
      <c r="J56" s="24" t="str">
        <f>_xlfn.XLOOKUP(B56,Sheet!A:A,Sheet!B:B,FALSE,)</f>
        <v>manthan@synthesis.co.za</v>
      </c>
      <c r="K56" s="24" t="str">
        <f>_xlfn.XLOOKUP(B56,Sheet!A:A,Sheet!C:C,FALSE,)</f>
        <v>0616491015</v>
      </c>
    </row>
    <row r="57" spans="1:11" hidden="1">
      <c r="A57" s="7">
        <v>44606</v>
      </c>
      <c r="B57" s="21" t="s">
        <v>240</v>
      </c>
      <c r="C57" s="8" t="s">
        <v>241</v>
      </c>
      <c r="D57" s="8" t="s">
        <v>242</v>
      </c>
      <c r="E57" s="8" t="s">
        <v>43</v>
      </c>
      <c r="F57" s="8" t="s">
        <v>243</v>
      </c>
      <c r="G57" s="8" t="s">
        <v>15</v>
      </c>
      <c r="H57" s="8" t="s">
        <v>32</v>
      </c>
      <c r="I57" s="23" t="s">
        <v>39</v>
      </c>
      <c r="J57" s="24" t="str">
        <f>_xlfn.XLOOKUP(B57,Sheet!A:A,Sheet!B:B,FALSE,)</f>
        <v>melissak@synthesis.co.za</v>
      </c>
      <c r="K57" s="24" t="str">
        <f>_xlfn.XLOOKUP(B57,Sheet!A:A,Sheet!C:C,FALSE,)</f>
        <v>0614407113</v>
      </c>
    </row>
    <row r="58" spans="1:11" hidden="1">
      <c r="A58" s="7">
        <v>42863</v>
      </c>
      <c r="B58" s="21" t="s">
        <v>244</v>
      </c>
      <c r="C58" s="8" t="s">
        <v>245</v>
      </c>
      <c r="D58" s="8" t="s">
        <v>246</v>
      </c>
      <c r="E58" s="8" t="s">
        <v>73</v>
      </c>
      <c r="F58" s="8" t="s">
        <v>109</v>
      </c>
      <c r="G58" s="8" t="s">
        <v>15</v>
      </c>
      <c r="H58" s="8" t="s">
        <v>16</v>
      </c>
      <c r="I58" s="23" t="s">
        <v>175</v>
      </c>
      <c r="J58" s="24" t="str">
        <f>_xlfn.XLOOKUP(B58,Sheet!A:A,Sheet!B:B,FALSE,)</f>
        <v>miguel@synthesis.co.za</v>
      </c>
      <c r="K58" s="24" t="str">
        <f>_xlfn.XLOOKUP(B58,Sheet!A:A,Sheet!C:C,FALSE,)</f>
        <v>0722179955</v>
      </c>
    </row>
    <row r="59" spans="1:11" hidden="1">
      <c r="A59" s="7">
        <v>43832</v>
      </c>
      <c r="B59" s="21" t="s">
        <v>247</v>
      </c>
      <c r="C59" s="8" t="s">
        <v>248</v>
      </c>
      <c r="D59" s="8" t="s">
        <v>249</v>
      </c>
      <c r="E59" s="8" t="s">
        <v>48</v>
      </c>
      <c r="F59" s="8" t="s">
        <v>250</v>
      </c>
      <c r="G59" s="8" t="s">
        <v>15</v>
      </c>
      <c r="H59" s="8" t="s">
        <v>16</v>
      </c>
      <c r="I59" s="23" t="s">
        <v>51</v>
      </c>
      <c r="J59" s="24" t="str">
        <f>_xlfn.XLOOKUP(B59,Sheet!A:A,Sheet!B:B,FALSE,)</f>
        <v>mark@synthesis.co.za</v>
      </c>
      <c r="K59" s="24" t="str">
        <f>_xlfn.XLOOKUP(B59,Sheet!A:A,Sheet!C:C,FALSE,)</f>
        <v>0833258246</v>
      </c>
    </row>
    <row r="60" spans="1:11" hidden="1">
      <c r="A60" s="7">
        <v>40422</v>
      </c>
      <c r="B60" s="21" t="s">
        <v>251</v>
      </c>
      <c r="C60" s="8" t="s">
        <v>252</v>
      </c>
      <c r="D60" s="8" t="s">
        <v>253</v>
      </c>
      <c r="E60" s="8" t="s">
        <v>254</v>
      </c>
      <c r="F60" s="8" t="s">
        <v>255</v>
      </c>
      <c r="G60" s="8" t="s">
        <v>15</v>
      </c>
      <c r="H60" s="8" t="s">
        <v>16</v>
      </c>
      <c r="I60" s="23" t="s">
        <v>89</v>
      </c>
      <c r="J60" s="24" t="str">
        <f>_xlfn.XLOOKUP(B60,Sheet!A:A,Sheet!B:B,FALSE,)</f>
        <v>marais@synthesis.co.za</v>
      </c>
      <c r="K60" s="24" t="str">
        <f>_xlfn.XLOOKUP(B60,Sheet!A:A,Sheet!C:C,FALSE,)</f>
        <v>0825687420</v>
      </c>
    </row>
    <row r="61" spans="1:11" hidden="1">
      <c r="A61" s="7">
        <v>44440</v>
      </c>
      <c r="B61" s="21" t="s">
        <v>256</v>
      </c>
      <c r="C61" s="8" t="s">
        <v>257</v>
      </c>
      <c r="D61" s="8" t="s">
        <v>258</v>
      </c>
      <c r="E61" s="8" t="s">
        <v>230</v>
      </c>
      <c r="F61" s="8" t="s">
        <v>259</v>
      </c>
      <c r="G61" s="8" t="s">
        <v>50</v>
      </c>
      <c r="H61" s="8" t="s">
        <v>32</v>
      </c>
      <c r="I61" s="23" t="s">
        <v>51</v>
      </c>
      <c r="J61" s="24" t="str">
        <f>_xlfn.XLOOKUP(B61,Sheet!A:A,Sheet!B:B,FALSE,)</f>
        <v>mantombi@synthesis.co.za</v>
      </c>
      <c r="K61" s="24" t="str">
        <f>_xlfn.XLOOKUP(B61,Sheet!A:A,Sheet!C:C,FALSE,)</f>
        <v>0739501311</v>
      </c>
    </row>
    <row r="62" spans="1:11" hidden="1">
      <c r="A62" s="7">
        <v>44748</v>
      </c>
      <c r="B62" s="21" t="s">
        <v>260</v>
      </c>
      <c r="C62" s="8" t="s">
        <v>11</v>
      </c>
      <c r="D62" s="8" t="s">
        <v>261</v>
      </c>
      <c r="E62" s="8" t="s">
        <v>55</v>
      </c>
      <c r="F62" s="8" t="s">
        <v>262</v>
      </c>
      <c r="G62" s="8" t="s">
        <v>50</v>
      </c>
      <c r="H62" s="8" t="s">
        <v>16</v>
      </c>
      <c r="I62" s="23" t="s">
        <v>39</v>
      </c>
      <c r="J62" s="24" t="str">
        <f>_xlfn.XLOOKUP(B62,Sheet!A:A,Sheet!B:B,FALSE,)</f>
        <v>michael.p@synthesis.co.za</v>
      </c>
      <c r="K62" s="24" t="str">
        <f>_xlfn.XLOOKUP(B62,Sheet!A:A,Sheet!C:C,FALSE,)</f>
        <v>0781483503</v>
      </c>
    </row>
    <row r="63" spans="1:11" hidden="1">
      <c r="A63" s="7">
        <v>41699</v>
      </c>
      <c r="B63" s="21" t="s">
        <v>263</v>
      </c>
      <c r="C63" s="8" t="s">
        <v>264</v>
      </c>
      <c r="D63" s="8" t="s">
        <v>265</v>
      </c>
      <c r="E63" s="8" t="s">
        <v>37</v>
      </c>
      <c r="F63" s="8" t="s">
        <v>209</v>
      </c>
      <c r="G63" s="8" t="s">
        <v>50</v>
      </c>
      <c r="H63" s="8" t="s">
        <v>32</v>
      </c>
      <c r="I63" s="23" t="s">
        <v>210</v>
      </c>
      <c r="J63" s="24"/>
      <c r="K63" s="24" t="str">
        <f>_xlfn.XLOOKUP(B63,Sheet!A:A,Sheet!C:C,FALSE,)</f>
        <v>0731672572</v>
      </c>
    </row>
    <row r="64" spans="1:11" hidden="1">
      <c r="A64" s="7">
        <v>43132</v>
      </c>
      <c r="B64" s="21" t="s">
        <v>266</v>
      </c>
      <c r="C64" s="8" t="s">
        <v>267</v>
      </c>
      <c r="D64" s="8" t="s">
        <v>268</v>
      </c>
      <c r="E64" s="8" t="s">
        <v>20</v>
      </c>
      <c r="F64" s="8" t="s">
        <v>269</v>
      </c>
      <c r="G64" s="8" t="s">
        <v>15</v>
      </c>
      <c r="H64" s="8" t="s">
        <v>16</v>
      </c>
      <c r="I64" s="23" t="s">
        <v>33</v>
      </c>
      <c r="J64" s="24" t="str">
        <f>_xlfn.XLOOKUP(B64,Sheet!A:A,Sheet!B:B,FALSE,)</f>
        <v>martins@synthesis.co.za</v>
      </c>
      <c r="K64" s="24" t="str">
        <f>_xlfn.XLOOKUP(B64,Sheet!A:A,Sheet!C:C,FALSE,)</f>
        <v>0833823437</v>
      </c>
    </row>
    <row r="65" spans="1:11" hidden="1">
      <c r="A65" s="7">
        <v>44197</v>
      </c>
      <c r="B65" s="21" t="s">
        <v>270</v>
      </c>
      <c r="C65" s="8" t="s">
        <v>271</v>
      </c>
      <c r="D65" s="8" t="s">
        <v>272</v>
      </c>
      <c r="E65" s="8" t="s">
        <v>43</v>
      </c>
      <c r="F65" s="8" t="s">
        <v>156</v>
      </c>
      <c r="G65" s="8" t="s">
        <v>50</v>
      </c>
      <c r="H65" s="8" t="s">
        <v>16</v>
      </c>
      <c r="I65" s="23" t="s">
        <v>39</v>
      </c>
      <c r="J65" s="24" t="str">
        <f>_xlfn.XLOOKUP(B65,Sheet!A:A,Sheet!B:B,FALSE,)</f>
        <v>muhiya@synthesis.co.za</v>
      </c>
      <c r="K65" s="24" t="str">
        <f>_xlfn.XLOOKUP(B65,Sheet!A:A,Sheet!C:C,FALSE,)</f>
        <v>0738742017</v>
      </c>
    </row>
    <row r="66" spans="1:11" hidden="1">
      <c r="A66" s="7">
        <v>44562</v>
      </c>
      <c r="B66" s="21" t="s">
        <v>273</v>
      </c>
      <c r="C66" s="8" t="s">
        <v>274</v>
      </c>
      <c r="D66" s="8" t="s">
        <v>275</v>
      </c>
      <c r="E66" s="8" t="s">
        <v>43</v>
      </c>
      <c r="F66" s="8" t="s">
        <v>156</v>
      </c>
      <c r="G66" s="8" t="s">
        <v>22</v>
      </c>
      <c r="H66" s="8" t="s">
        <v>16</v>
      </c>
      <c r="I66" s="23" t="s">
        <v>39</v>
      </c>
      <c r="J66" s="24" t="str">
        <f>_xlfn.XLOOKUP(B66,Sheet!A:A,Sheet!B:B,FALSE,)</f>
        <v>mohammedv@synthesis.co.za</v>
      </c>
      <c r="K66" s="24" t="str">
        <f>_xlfn.XLOOKUP(B66,Sheet!A:A,Sheet!C:C,FALSE,)</f>
        <v>0762907264</v>
      </c>
    </row>
    <row r="67" spans="1:11" hidden="1">
      <c r="A67" s="7">
        <v>43709</v>
      </c>
      <c r="B67" s="21" t="s">
        <v>276</v>
      </c>
      <c r="C67" s="8" t="s">
        <v>277</v>
      </c>
      <c r="D67" s="8" t="s">
        <v>278</v>
      </c>
      <c r="E67" s="8" t="s">
        <v>73</v>
      </c>
      <c r="F67" s="8" t="s">
        <v>122</v>
      </c>
      <c r="G67" s="8" t="s">
        <v>15</v>
      </c>
      <c r="H67" s="8" t="s">
        <v>16</v>
      </c>
      <c r="I67" s="23" t="s">
        <v>51</v>
      </c>
      <c r="J67" s="24" t="str">
        <f>_xlfn.XLOOKUP(B67,Sheet!A:A,Sheet!B:B,FALSE,)</f>
        <v>marcin@synthesis.co.za</v>
      </c>
      <c r="K67" s="24" t="str">
        <f>_xlfn.XLOOKUP(B67,Sheet!A:A,Sheet!C:C,FALSE,)</f>
        <v>0721378228</v>
      </c>
    </row>
    <row r="68" spans="1:11" hidden="1">
      <c r="A68" s="7">
        <v>44835</v>
      </c>
      <c r="B68" s="21" t="s">
        <v>279</v>
      </c>
      <c r="C68" s="8" t="s">
        <v>280</v>
      </c>
      <c r="D68" s="8" t="s">
        <v>281</v>
      </c>
      <c r="E68" s="8" t="s">
        <v>20</v>
      </c>
      <c r="F68" s="8" t="s">
        <v>199</v>
      </c>
      <c r="G68" s="8" t="s">
        <v>15</v>
      </c>
      <c r="H68" s="8" t="s">
        <v>16</v>
      </c>
      <c r="I68" s="23" t="s">
        <v>51</v>
      </c>
      <c r="J68" s="24" t="str">
        <f>_xlfn.XLOOKUP(B68,Sheet!A:A,Sheet!B:B,FALSE,)</f>
        <v>nicholasd@synthesis.co.za</v>
      </c>
      <c r="K68" s="24" t="str">
        <f>_xlfn.XLOOKUP(B68,Sheet!A:A,Sheet!C:C,FALSE,)</f>
        <v>0823955693</v>
      </c>
    </row>
    <row r="69" spans="1:11" hidden="1">
      <c r="A69" s="7">
        <v>43739</v>
      </c>
      <c r="B69" s="21" t="s">
        <v>282</v>
      </c>
      <c r="C69" s="8" t="s">
        <v>283</v>
      </c>
      <c r="D69" s="8" t="s">
        <v>284</v>
      </c>
      <c r="E69" s="8" t="s">
        <v>60</v>
      </c>
      <c r="F69" s="8" t="s">
        <v>285</v>
      </c>
      <c r="G69" s="8" t="s">
        <v>15</v>
      </c>
      <c r="H69" s="8" t="s">
        <v>16</v>
      </c>
      <c r="I69" s="23" t="s">
        <v>33</v>
      </c>
      <c r="J69" s="24" t="str">
        <f>_xlfn.XLOOKUP(B69,Sheet!A:A,Sheet!B:B,FALSE,)</f>
        <v>nick@synthesis.co.za</v>
      </c>
      <c r="K69" s="24" t="str">
        <f>_xlfn.XLOOKUP(B69,Sheet!A:A,Sheet!C:C,FALSE,)</f>
        <v>0824686354</v>
      </c>
    </row>
    <row r="70" spans="1:11" hidden="1">
      <c r="A70" s="7">
        <v>41456</v>
      </c>
      <c r="B70" s="21" t="s">
        <v>286</v>
      </c>
      <c r="C70" s="8" t="s">
        <v>287</v>
      </c>
      <c r="D70" s="8" t="s">
        <v>112</v>
      </c>
      <c r="E70" s="8" t="s">
        <v>73</v>
      </c>
      <c r="F70" s="8" t="s">
        <v>109</v>
      </c>
      <c r="G70" s="8" t="s">
        <v>22</v>
      </c>
      <c r="H70" s="8" t="s">
        <v>16</v>
      </c>
      <c r="I70" s="23" t="s">
        <v>175</v>
      </c>
      <c r="J70" s="24" t="str">
        <f>_xlfn.XLOOKUP(B70,Sheet!A:A,Sheet!B:B,FALSE,)</f>
        <v>preshalin@synthesis.co.za</v>
      </c>
      <c r="K70" s="24" t="str">
        <f>_xlfn.XLOOKUP(B70,Sheet!A:A,Sheet!C:C,FALSE,)</f>
        <v>0837669860</v>
      </c>
    </row>
    <row r="71" spans="1:11" hidden="1">
      <c r="A71" s="7">
        <v>44743</v>
      </c>
      <c r="B71" s="21" t="s">
        <v>288</v>
      </c>
      <c r="C71" s="8" t="s">
        <v>289</v>
      </c>
      <c r="D71" s="8" t="s">
        <v>290</v>
      </c>
      <c r="E71" s="8" t="s">
        <v>48</v>
      </c>
      <c r="F71" s="8" t="s">
        <v>291</v>
      </c>
      <c r="G71" s="8" t="s">
        <v>50</v>
      </c>
      <c r="H71" s="8" t="s">
        <v>16</v>
      </c>
      <c r="I71" s="23" t="s">
        <v>39</v>
      </c>
      <c r="J71" s="24" t="str">
        <f>_xlfn.XLOOKUP(B71,Sheet!A:A,Sheet!B:B,FALSE,)</f>
        <v>qiniso@synthesis.co.za</v>
      </c>
      <c r="K71" s="24" t="str">
        <f>_xlfn.XLOOKUP(B71,Sheet!A:A,Sheet!C:C,FALSE,)</f>
        <v>0761905514</v>
      </c>
    </row>
    <row r="72" spans="1:11" hidden="1">
      <c r="A72" s="7">
        <v>42614</v>
      </c>
      <c r="B72" s="21" t="s">
        <v>292</v>
      </c>
      <c r="C72" s="8" t="s">
        <v>293</v>
      </c>
      <c r="D72" s="8" t="s">
        <v>294</v>
      </c>
      <c r="E72" s="8" t="s">
        <v>73</v>
      </c>
      <c r="F72" s="8" t="s">
        <v>122</v>
      </c>
      <c r="G72" s="8" t="s">
        <v>15</v>
      </c>
      <c r="H72" s="8" t="s">
        <v>16</v>
      </c>
      <c r="I72" s="23" t="s">
        <v>51</v>
      </c>
      <c r="J72" s="24" t="str">
        <f>_xlfn.XLOOKUP(B72,Sheet!A:A,Sheet!B:B,FALSE,)</f>
        <v>ricardo@synthesis.co.za</v>
      </c>
      <c r="K72" s="24" t="str">
        <f>_xlfn.XLOOKUP(B72,Sheet!A:A,Sheet!C:C,FALSE,)</f>
        <v>0836751898</v>
      </c>
    </row>
    <row r="73" spans="1:11" hidden="1">
      <c r="A73" s="7">
        <v>43739</v>
      </c>
      <c r="B73" s="21" t="s">
        <v>295</v>
      </c>
      <c r="C73" s="8" t="s">
        <v>296</v>
      </c>
      <c r="D73" s="8" t="s">
        <v>297</v>
      </c>
      <c r="E73" s="8" t="s">
        <v>93</v>
      </c>
      <c r="F73" s="8" t="s">
        <v>122</v>
      </c>
      <c r="G73" s="8" t="s">
        <v>15</v>
      </c>
      <c r="H73" s="8" t="s">
        <v>16</v>
      </c>
      <c r="I73" s="23" t="s">
        <v>33</v>
      </c>
      <c r="J73" s="24" t="str">
        <f>_xlfn.XLOOKUP(B73,Sheet!A:A,Sheet!B:B,FALSE,)</f>
        <v>rolf@synthesis.co.za</v>
      </c>
      <c r="K73" s="24" t="str">
        <f>_xlfn.XLOOKUP(B73,Sheet!A:A,Sheet!C:C,FALSE,)</f>
        <v>0840272395</v>
      </c>
    </row>
    <row r="74" spans="1:11" hidden="1">
      <c r="A74" s="7">
        <v>44562</v>
      </c>
      <c r="B74" s="21" t="s">
        <v>298</v>
      </c>
      <c r="C74" s="8" t="s">
        <v>299</v>
      </c>
      <c r="D74" s="8" t="s">
        <v>300</v>
      </c>
      <c r="E74" s="8" t="s">
        <v>73</v>
      </c>
      <c r="F74" s="8" t="s">
        <v>156</v>
      </c>
      <c r="G74" s="8" t="s">
        <v>15</v>
      </c>
      <c r="H74" s="8" t="s">
        <v>16</v>
      </c>
      <c r="I74" s="23" t="s">
        <v>39</v>
      </c>
      <c r="J74" s="24" t="str">
        <f>_xlfn.XLOOKUP(B74,Sheet!A:A,Sheet!B:B,FALSE,)</f>
        <v>ruben@synthesis.co.za</v>
      </c>
      <c r="K74" s="24" t="str">
        <f>_xlfn.XLOOKUP(B74,Sheet!A:A,Sheet!C:C,FALSE,)</f>
        <v>0744697800</v>
      </c>
    </row>
    <row r="75" spans="1:11" hidden="1">
      <c r="A75" s="7">
        <v>43344</v>
      </c>
      <c r="B75" s="21" t="s">
        <v>301</v>
      </c>
      <c r="C75" s="8" t="s">
        <v>302</v>
      </c>
      <c r="D75" s="8" t="s">
        <v>303</v>
      </c>
      <c r="E75" s="8" t="s">
        <v>20</v>
      </c>
      <c r="F75" s="8" t="s">
        <v>269</v>
      </c>
      <c r="G75" s="8" t="s">
        <v>15</v>
      </c>
      <c r="H75" s="8" t="s">
        <v>16</v>
      </c>
      <c r="I75" s="23" t="s">
        <v>23</v>
      </c>
      <c r="J75" s="24" t="str">
        <f>_xlfn.XLOOKUP(B75,Sheet!A:A,Sheet!B:B,FALSE,)</f>
        <v>rui@synthesis.co.za</v>
      </c>
      <c r="K75" s="24" t="str">
        <f>_xlfn.XLOOKUP(B75,Sheet!A:A,Sheet!C:C,FALSE,)</f>
        <v>0795188596</v>
      </c>
    </row>
    <row r="76" spans="1:11" hidden="1">
      <c r="A76" s="7">
        <v>44866</v>
      </c>
      <c r="B76" s="21" t="s">
        <v>304</v>
      </c>
      <c r="C76" s="8" t="s">
        <v>305</v>
      </c>
      <c r="D76" s="8" t="s">
        <v>306</v>
      </c>
      <c r="E76" s="8" t="s">
        <v>73</v>
      </c>
      <c r="F76" s="8" t="s">
        <v>122</v>
      </c>
      <c r="G76" s="8" t="s">
        <v>15</v>
      </c>
      <c r="H76" s="8" t="s">
        <v>16</v>
      </c>
      <c r="I76" s="23" t="s">
        <v>51</v>
      </c>
      <c r="J76" s="24" t="str">
        <f>_xlfn.XLOOKUP(B76,Sheet!A:A,Sheet!B:B,FALSE,)</f>
        <v>ryan@synthesis.co.za</v>
      </c>
      <c r="K76" s="24" t="str">
        <f>_xlfn.XLOOKUP(B76,Sheet!A:A,Sheet!C:C,FALSE,)</f>
        <v>0761902267</v>
      </c>
    </row>
    <row r="77" spans="1:11" hidden="1">
      <c r="A77" s="7">
        <v>44684</v>
      </c>
      <c r="B77" s="21" t="s">
        <v>307</v>
      </c>
      <c r="C77" s="8" t="s">
        <v>308</v>
      </c>
      <c r="D77" s="8" t="s">
        <v>309</v>
      </c>
      <c r="E77" s="8" t="s">
        <v>48</v>
      </c>
      <c r="F77" s="8" t="s">
        <v>310</v>
      </c>
      <c r="G77" s="8" t="s">
        <v>84</v>
      </c>
      <c r="H77" s="8" t="s">
        <v>16</v>
      </c>
      <c r="I77" s="23" t="s">
        <v>239</v>
      </c>
      <c r="J77" s="24" t="str">
        <f>_xlfn.XLOOKUP(B77,Sheet!A:A,Sheet!B:B,FALSE,)</f>
        <v>raees@synthesis.co.za</v>
      </c>
      <c r="K77" s="24" t="str">
        <f>_xlfn.XLOOKUP(B77,Sheet!A:A,Sheet!C:C,FALSE,)</f>
        <v>0763132297</v>
      </c>
    </row>
    <row r="78" spans="1:11" hidden="1">
      <c r="A78" s="7">
        <v>44652</v>
      </c>
      <c r="B78" s="21" t="s">
        <v>311</v>
      </c>
      <c r="C78" s="8" t="s">
        <v>312</v>
      </c>
      <c r="D78" s="8" t="s">
        <v>313</v>
      </c>
      <c r="E78" s="8" t="s">
        <v>48</v>
      </c>
      <c r="F78" s="8" t="s">
        <v>49</v>
      </c>
      <c r="G78" s="8" t="s">
        <v>50</v>
      </c>
      <c r="H78" s="8" t="s">
        <v>16</v>
      </c>
      <c r="I78" s="23" t="s">
        <v>51</v>
      </c>
      <c r="J78" s="24" t="str">
        <f>_xlfn.XLOOKUP(B78,Sheet!A:A,Sheet!B:B,FALSE,)</f>
        <v>ronnie@synthesis.co.za</v>
      </c>
      <c r="K78" s="24" t="str">
        <f>_xlfn.XLOOKUP(B78,Sheet!A:A,Sheet!C:C,FALSE,)</f>
        <v>0785231141</v>
      </c>
    </row>
    <row r="79" spans="1:11" hidden="1">
      <c r="A79" s="7">
        <v>44896</v>
      </c>
      <c r="B79" s="21" t="s">
        <v>314</v>
      </c>
      <c r="C79" s="8" t="s">
        <v>315</v>
      </c>
      <c r="D79" s="8" t="s">
        <v>316</v>
      </c>
      <c r="E79" s="8" t="s">
        <v>73</v>
      </c>
      <c r="F79" s="8" t="s">
        <v>317</v>
      </c>
      <c r="G79" s="8" t="s">
        <v>15</v>
      </c>
      <c r="H79" s="8" t="s">
        <v>16</v>
      </c>
      <c r="I79" s="23" t="s">
        <v>23</v>
      </c>
      <c r="J79" s="24" t="str">
        <f>_xlfn.XLOOKUP(B79,Sheet!A:A,Sheet!B:B,FALSE,)</f>
        <v>rg@synthesis.co.za</v>
      </c>
      <c r="K79" s="24" t="str">
        <f>_xlfn.XLOOKUP(B79,Sheet!A:A,Sheet!C:C,FALSE,)</f>
        <v>0698530008</v>
      </c>
    </row>
    <row r="80" spans="1:11" hidden="1">
      <c r="A80" s="7">
        <v>43472</v>
      </c>
      <c r="B80" s="21" t="s">
        <v>318</v>
      </c>
      <c r="C80" s="8" t="s">
        <v>319</v>
      </c>
      <c r="D80" s="8" t="s">
        <v>320</v>
      </c>
      <c r="E80" s="8" t="s">
        <v>321</v>
      </c>
      <c r="F80" s="8" t="s">
        <v>322</v>
      </c>
      <c r="G80" s="8" t="s">
        <v>15</v>
      </c>
      <c r="H80" s="8" t="s">
        <v>32</v>
      </c>
      <c r="I80" s="23" t="s">
        <v>51</v>
      </c>
      <c r="J80" s="24" t="str">
        <f>_xlfn.XLOOKUP(B80,Sheet!A:A,Sheet!B:B,FALSE,)</f>
        <v>sharon@synthesis.co.za</v>
      </c>
      <c r="K80" s="24" t="str">
        <f>_xlfn.XLOOKUP(B80,Sheet!A:A,Sheet!C:C,FALSE,)</f>
        <v>0714750201</v>
      </c>
    </row>
    <row r="81" spans="1:11" hidden="1">
      <c r="A81" s="7">
        <v>44835</v>
      </c>
      <c r="B81" s="21" t="s">
        <v>323</v>
      </c>
      <c r="C81" s="8" t="s">
        <v>324</v>
      </c>
      <c r="D81" s="8" t="s">
        <v>325</v>
      </c>
      <c r="E81" s="8" t="s">
        <v>55</v>
      </c>
      <c r="F81" s="8" t="s">
        <v>326</v>
      </c>
      <c r="G81" s="8" t="s">
        <v>15</v>
      </c>
      <c r="H81" s="8" t="s">
        <v>32</v>
      </c>
      <c r="I81" s="23" t="s">
        <v>51</v>
      </c>
      <c r="J81" s="24" t="str">
        <f>_xlfn.XLOOKUP(B81,Sheet!A:A,Sheet!B:B,FALSE,)</f>
        <v>saskia@synthesis.co.za</v>
      </c>
      <c r="K81" s="24" t="str">
        <f>_xlfn.XLOOKUP(B81,Sheet!A:A,Sheet!C:C,FALSE,)</f>
        <v>0764788174</v>
      </c>
    </row>
    <row r="82" spans="1:11" hidden="1">
      <c r="A82" s="7">
        <v>44788</v>
      </c>
      <c r="B82" s="21" t="s">
        <v>327</v>
      </c>
      <c r="C82" s="8" t="s">
        <v>328</v>
      </c>
      <c r="D82" s="8" t="s">
        <v>329</v>
      </c>
      <c r="E82" s="8" t="s">
        <v>73</v>
      </c>
      <c r="F82" s="8" t="s">
        <v>122</v>
      </c>
      <c r="G82" s="8" t="s">
        <v>50</v>
      </c>
      <c r="H82" s="8" t="s">
        <v>16</v>
      </c>
      <c r="I82" s="23" t="s">
        <v>51</v>
      </c>
      <c r="J82" s="24" t="str">
        <f>_xlfn.XLOOKUP(B82,Sheet!A:A,Sheet!B:B,FALSE,)</f>
        <v>sibabalwe@synthesis.co.za</v>
      </c>
      <c r="K82" s="24" t="str">
        <f>_xlfn.XLOOKUP(B82,Sheet!A:A,Sheet!C:C,FALSE,)</f>
        <v>0617266099</v>
      </c>
    </row>
    <row r="83" spans="1:11" hidden="1">
      <c r="A83" s="7">
        <v>44935</v>
      </c>
      <c r="B83" s="21" t="s">
        <v>330</v>
      </c>
      <c r="C83" s="8" t="s">
        <v>331</v>
      </c>
      <c r="D83" s="8" t="s">
        <v>332</v>
      </c>
      <c r="E83" s="8" t="s">
        <v>48</v>
      </c>
      <c r="F83" s="8" t="s">
        <v>333</v>
      </c>
      <c r="G83" s="8" t="s">
        <v>15</v>
      </c>
      <c r="H83" s="8" t="s">
        <v>16</v>
      </c>
      <c r="I83" s="23" t="s">
        <v>51</v>
      </c>
      <c r="J83" s="24" t="str">
        <f>_xlfn.XLOOKUP(B83,Sheet!A:A,Sheet!B:B,FALSE,)</f>
        <v>doug@synthesis.co.za</v>
      </c>
      <c r="K83" s="24" t="str">
        <f>_xlfn.XLOOKUP(B83,Sheet!A:A,Sheet!C:C,FALSE,)</f>
        <v>0832186043</v>
      </c>
    </row>
    <row r="84" spans="1:11" hidden="1">
      <c r="A84" s="7">
        <v>44929</v>
      </c>
      <c r="B84" s="21" t="s">
        <v>334</v>
      </c>
      <c r="C84" s="8" t="s">
        <v>335</v>
      </c>
      <c r="D84" s="8" t="s">
        <v>336</v>
      </c>
      <c r="E84" s="8" t="s">
        <v>37</v>
      </c>
      <c r="F84" s="8" t="s">
        <v>337</v>
      </c>
      <c r="G84" s="8" t="s">
        <v>22</v>
      </c>
      <c r="H84" s="8" t="s">
        <v>16</v>
      </c>
      <c r="I84" s="23" t="s">
        <v>51</v>
      </c>
      <c r="J84" s="24" t="str">
        <f>_xlfn.XLOOKUP(B84,Sheet!A:A,Sheet!B:B,FALSE,)</f>
        <v>himesh@synthesis.co.za</v>
      </c>
      <c r="K84" s="24" t="str">
        <f>_xlfn.XLOOKUP(B84,Sheet!A:A,Sheet!C:C,FALSE,)</f>
        <v>0825634443</v>
      </c>
    </row>
    <row r="85" spans="1:11" hidden="1">
      <c r="A85" s="7">
        <v>44941</v>
      </c>
      <c r="B85" s="21" t="s">
        <v>338</v>
      </c>
      <c r="C85" s="8" t="s">
        <v>339</v>
      </c>
      <c r="D85" s="8" t="s">
        <v>340</v>
      </c>
      <c r="E85" s="8" t="s">
        <v>73</v>
      </c>
      <c r="F85" s="8" t="s">
        <v>156</v>
      </c>
      <c r="G85" s="8" t="s">
        <v>15</v>
      </c>
      <c r="H85" s="8" t="s">
        <v>16</v>
      </c>
      <c r="I85" s="23" t="s">
        <v>39</v>
      </c>
      <c r="J85" s="24" t="str">
        <f>_xlfn.XLOOKUP(B85,Sheet!A:A,Sheet!B:B,FALSE,)</f>
        <v>daniels@synthesis.co.za</v>
      </c>
      <c r="K85" s="24" t="str">
        <f>_xlfn.XLOOKUP(B85,Sheet!A:A,Sheet!C:C,FALSE,)</f>
        <v>0824645678</v>
      </c>
    </row>
    <row r="86" spans="1:11" hidden="1">
      <c r="A86" s="7">
        <v>44941</v>
      </c>
      <c r="B86" s="21" t="s">
        <v>341</v>
      </c>
      <c r="C86" s="8" t="s">
        <v>342</v>
      </c>
      <c r="D86" s="8" t="s">
        <v>343</v>
      </c>
      <c r="E86" s="8" t="s">
        <v>55</v>
      </c>
      <c r="F86" s="8" t="s">
        <v>344</v>
      </c>
      <c r="G86" s="8" t="s">
        <v>15</v>
      </c>
      <c r="H86" s="8" t="s">
        <v>16</v>
      </c>
      <c r="I86" s="23" t="s">
        <v>51</v>
      </c>
      <c r="J86" s="24" t="str">
        <f>_xlfn.XLOOKUP(B86,Sheet!A:A,Sheet!B:B,FALSE,)</f>
        <v>dino@synthesis.co.za</v>
      </c>
      <c r="K86" s="24" t="str">
        <f>_xlfn.XLOOKUP(B86,Sheet!A:A,Sheet!C:C,FALSE,)</f>
        <v>0849628057</v>
      </c>
    </row>
    <row r="87" spans="1:11" hidden="1">
      <c r="A87" s="7">
        <v>44941</v>
      </c>
      <c r="B87" s="21" t="s">
        <v>345</v>
      </c>
      <c r="C87" s="8" t="s">
        <v>346</v>
      </c>
      <c r="D87" s="8" t="s">
        <v>347</v>
      </c>
      <c r="E87" s="8" t="s">
        <v>60</v>
      </c>
      <c r="F87" s="8" t="s">
        <v>199</v>
      </c>
      <c r="G87" s="8" t="s">
        <v>50</v>
      </c>
      <c r="H87" s="8" t="s">
        <v>16</v>
      </c>
      <c r="I87" s="23" t="s">
        <v>39</v>
      </c>
      <c r="J87" s="24" t="str">
        <f>_xlfn.XLOOKUP(B87,Sheet!A:A,Sheet!B:B,FALSE,)</f>
        <v>enoch@synthesis.co.za</v>
      </c>
      <c r="K87" s="24" t="str">
        <f>_xlfn.XLOOKUP(B87,Sheet!A:A,Sheet!C:C,FALSE,)</f>
        <v>0716035175</v>
      </c>
    </row>
    <row r="88" spans="1:11" hidden="1">
      <c r="A88" s="7">
        <v>44941</v>
      </c>
      <c r="B88" s="21" t="s">
        <v>348</v>
      </c>
      <c r="C88" s="8" t="s">
        <v>349</v>
      </c>
      <c r="D88" s="8" t="s">
        <v>350</v>
      </c>
      <c r="E88" s="8" t="s">
        <v>60</v>
      </c>
      <c r="F88" s="8" t="s">
        <v>199</v>
      </c>
      <c r="G88" s="8" t="s">
        <v>50</v>
      </c>
      <c r="H88" s="8" t="s">
        <v>16</v>
      </c>
      <c r="I88" s="23" t="s">
        <v>39</v>
      </c>
      <c r="J88" s="24" t="str">
        <f>_xlfn.XLOOKUP(B88,Sheet!A:A,Sheet!B:B,FALSE,)</f>
        <v>rhuli@synthesis.co.za</v>
      </c>
      <c r="K88" s="24" t="str">
        <f>_xlfn.XLOOKUP(B88,Sheet!A:A,Sheet!C:C,FALSE,)</f>
        <v>0793017394</v>
      </c>
    </row>
    <row r="89" spans="1:11" hidden="1">
      <c r="A89" s="7">
        <v>44941</v>
      </c>
      <c r="B89" s="21" t="s">
        <v>351</v>
      </c>
      <c r="C89" s="8" t="s">
        <v>352</v>
      </c>
      <c r="D89" s="8" t="s">
        <v>19</v>
      </c>
      <c r="E89" s="8" t="s">
        <v>55</v>
      </c>
      <c r="F89" s="8" t="s">
        <v>143</v>
      </c>
      <c r="G89" s="8" t="s">
        <v>22</v>
      </c>
      <c r="H89" s="8" t="s">
        <v>32</v>
      </c>
      <c r="I89" s="23" t="s">
        <v>39</v>
      </c>
      <c r="J89" s="24" t="str">
        <f>_xlfn.XLOOKUP(B89,Sheet!A:A,Sheet!B:B,FALSE,)</f>
        <v>humaira@synthesis.co.za</v>
      </c>
      <c r="K89" s="24" t="str">
        <f>_xlfn.XLOOKUP(B89,Sheet!A:A,Sheet!C:C,FALSE,)</f>
        <v>0719203416</v>
      </c>
    </row>
    <row r="90" spans="1:11" hidden="1">
      <c r="A90" s="7">
        <v>44941</v>
      </c>
      <c r="B90" s="21" t="s">
        <v>353</v>
      </c>
      <c r="C90" s="8" t="s">
        <v>354</v>
      </c>
      <c r="D90" s="8" t="s">
        <v>355</v>
      </c>
      <c r="E90" s="8" t="s">
        <v>73</v>
      </c>
      <c r="F90" s="8" t="s">
        <v>156</v>
      </c>
      <c r="G90" s="8" t="s">
        <v>15</v>
      </c>
      <c r="H90" s="8" t="s">
        <v>16</v>
      </c>
      <c r="I90" s="23" t="s">
        <v>39</v>
      </c>
      <c r="J90" s="24" t="str">
        <f>_xlfn.XLOOKUP(B90,Sheet!A:A,Sheet!B:B,FALSE,)</f>
        <v>jason@synthesis.co.za</v>
      </c>
      <c r="K90" s="24" t="str">
        <f>_xlfn.XLOOKUP(B90,Sheet!A:A,Sheet!C:C,FALSE,)</f>
        <v>0737457417</v>
      </c>
    </row>
    <row r="91" spans="1:11" hidden="1">
      <c r="A91" s="7">
        <v>44941</v>
      </c>
      <c r="B91" s="21" t="s">
        <v>356</v>
      </c>
      <c r="C91" s="8" t="s">
        <v>357</v>
      </c>
      <c r="D91" s="8" t="s">
        <v>358</v>
      </c>
      <c r="E91" s="8" t="s">
        <v>55</v>
      </c>
      <c r="F91" s="8" t="s">
        <v>143</v>
      </c>
      <c r="G91" s="8" t="s">
        <v>15</v>
      </c>
      <c r="H91" s="8" t="s">
        <v>16</v>
      </c>
      <c r="I91" s="23" t="s">
        <v>39</v>
      </c>
      <c r="J91" s="24" t="str">
        <f>_xlfn.XLOOKUP(B91,Sheet!A:A,Sheet!B:B,FALSE,)</f>
        <v>joshuaw@synthesis.co.za</v>
      </c>
      <c r="K91" s="24" t="str">
        <f>_xlfn.XLOOKUP(B91,Sheet!A:A,Sheet!C:C,FALSE,)</f>
        <v>0823322397</v>
      </c>
    </row>
    <row r="92" spans="1:11" hidden="1">
      <c r="A92" s="7">
        <v>44941</v>
      </c>
      <c r="B92" s="21" t="s">
        <v>359</v>
      </c>
      <c r="C92" s="8" t="s">
        <v>360</v>
      </c>
      <c r="D92" s="8" t="s">
        <v>361</v>
      </c>
      <c r="E92" s="8" t="s">
        <v>73</v>
      </c>
      <c r="F92" s="8" t="s">
        <v>156</v>
      </c>
      <c r="G92" s="8" t="s">
        <v>50</v>
      </c>
      <c r="H92" s="8" t="s">
        <v>16</v>
      </c>
      <c r="I92" s="23" t="s">
        <v>39</v>
      </c>
      <c r="J92" s="24" t="str">
        <f>_xlfn.XLOOKUP(B92,Sheet!A:A,Sheet!B:B,FALSE,)</f>
        <v>kgotsop@synthesis.co.za</v>
      </c>
      <c r="K92" s="24" t="str">
        <f>_xlfn.XLOOKUP(B92,Sheet!A:A,Sheet!C:C,FALSE,)</f>
        <v>0735721710</v>
      </c>
    </row>
    <row r="93" spans="1:11" hidden="1">
      <c r="A93" s="7">
        <v>44941</v>
      </c>
      <c r="B93" s="21" t="s">
        <v>362</v>
      </c>
      <c r="C93" s="8" t="s">
        <v>363</v>
      </c>
      <c r="D93" s="8" t="s">
        <v>364</v>
      </c>
      <c r="E93" s="8" t="s">
        <v>151</v>
      </c>
      <c r="F93" s="8" t="s">
        <v>365</v>
      </c>
      <c r="G93" s="8" t="s">
        <v>50</v>
      </c>
      <c r="H93" s="8" t="s">
        <v>16</v>
      </c>
      <c r="I93" s="23" t="s">
        <v>239</v>
      </c>
      <c r="J93" s="24" t="str">
        <f>_xlfn.XLOOKUP(B93,Sheet!A:A,Sheet!B:B,FALSE,)</f>
        <v>louis@synthesis.co.za</v>
      </c>
      <c r="K93" s="24" t="str">
        <f>_xlfn.XLOOKUP(B93,Sheet!A:A,Sheet!C:C,FALSE,)</f>
        <v>0605887822</v>
      </c>
    </row>
    <row r="94" spans="1:11" hidden="1">
      <c r="A94" s="7">
        <v>44941</v>
      </c>
      <c r="B94" s="21" t="s">
        <v>366</v>
      </c>
      <c r="C94" s="8" t="s">
        <v>367</v>
      </c>
      <c r="D94" s="8" t="s">
        <v>368</v>
      </c>
      <c r="E94" s="8" t="s">
        <v>93</v>
      </c>
      <c r="F94" s="8" t="s">
        <v>156</v>
      </c>
      <c r="G94" s="8" t="s">
        <v>50</v>
      </c>
      <c r="H94" s="8" t="s">
        <v>16</v>
      </c>
      <c r="I94" s="23" t="s">
        <v>39</v>
      </c>
      <c r="J94" s="24" t="str">
        <f>_xlfn.XLOOKUP(B94,Sheet!A:A,Sheet!B:B,FALSE,)</f>
        <v>pfunzo@synthesis.co.za</v>
      </c>
      <c r="K94" s="24" t="str">
        <f>_xlfn.XLOOKUP(B94,Sheet!A:A,Sheet!C:C,FALSE,)</f>
        <v>0649607293</v>
      </c>
    </row>
    <row r="95" spans="1:11" hidden="1">
      <c r="A95" s="7">
        <v>44941</v>
      </c>
      <c r="B95" s="21" t="s">
        <v>369</v>
      </c>
      <c r="C95" s="8" t="s">
        <v>370</v>
      </c>
      <c r="D95" s="8" t="s">
        <v>371</v>
      </c>
      <c r="E95" s="8" t="s">
        <v>55</v>
      </c>
      <c r="F95" s="8" t="s">
        <v>156</v>
      </c>
      <c r="G95" s="8" t="s">
        <v>22</v>
      </c>
      <c r="H95" s="8" t="s">
        <v>32</v>
      </c>
      <c r="I95" s="23" t="s">
        <v>39</v>
      </c>
      <c r="J95" s="24" t="str">
        <f>_xlfn.XLOOKUP(B95,Sheet!A:A,Sheet!B:B,FALSE,)</f>
        <v>sharika@synthesis.co.za</v>
      </c>
      <c r="K95" s="24" t="str">
        <f>_xlfn.XLOOKUP(B95,Sheet!A:A,Sheet!C:C,FALSE,)</f>
        <v>0699949051</v>
      </c>
    </row>
    <row r="96" spans="1:11" hidden="1">
      <c r="A96" s="7">
        <v>44941</v>
      </c>
      <c r="B96" s="21" t="s">
        <v>372</v>
      </c>
      <c r="C96" s="8" t="s">
        <v>373</v>
      </c>
      <c r="D96" s="8" t="s">
        <v>374</v>
      </c>
      <c r="E96" s="8" t="s">
        <v>43</v>
      </c>
      <c r="F96" s="8" t="s">
        <v>156</v>
      </c>
      <c r="G96" s="8" t="s">
        <v>22</v>
      </c>
      <c r="H96" s="8" t="s">
        <v>16</v>
      </c>
      <c r="I96" s="23" t="s">
        <v>39</v>
      </c>
      <c r="J96" s="24" t="str">
        <f>_xlfn.XLOOKUP(B96,Sheet!A:A,Sheet!B:B,FALSE,)</f>
        <v>shrey@synthesis.co.za</v>
      </c>
      <c r="K96" s="24" t="str">
        <f>_xlfn.XLOOKUP(B96,Sheet!A:A,Sheet!C:C,FALSE,)</f>
        <v>0609306696</v>
      </c>
    </row>
    <row r="97" spans="1:11" hidden="1">
      <c r="A97" s="7">
        <v>44941</v>
      </c>
      <c r="B97" s="21" t="s">
        <v>375</v>
      </c>
      <c r="C97" s="8" t="s">
        <v>376</v>
      </c>
      <c r="D97" s="8" t="s">
        <v>377</v>
      </c>
      <c r="E97" s="8" t="s">
        <v>20</v>
      </c>
      <c r="F97" s="8" t="s">
        <v>199</v>
      </c>
      <c r="G97" s="8" t="s">
        <v>50</v>
      </c>
      <c r="H97" s="8" t="s">
        <v>16</v>
      </c>
      <c r="I97" s="23" t="s">
        <v>239</v>
      </c>
      <c r="J97" s="24" t="str">
        <f>_xlfn.XLOOKUP(B97,Sheet!A:A,Sheet!B:B,FALSE,)</f>
        <v>siyabonga@synthesis.co.za</v>
      </c>
      <c r="K97" s="24" t="str">
        <f>_xlfn.XLOOKUP(B97,Sheet!A:A,Sheet!C:C,FALSE,)</f>
        <v>0711572366</v>
      </c>
    </row>
    <row r="98" spans="1:11" hidden="1">
      <c r="A98" s="7">
        <v>44941</v>
      </c>
      <c r="B98" s="21" t="s">
        <v>378</v>
      </c>
      <c r="C98" s="8" t="s">
        <v>379</v>
      </c>
      <c r="D98" s="8" t="s">
        <v>380</v>
      </c>
      <c r="E98" s="8" t="s">
        <v>60</v>
      </c>
      <c r="F98" s="8" t="s">
        <v>199</v>
      </c>
      <c r="G98" s="8" t="s">
        <v>50</v>
      </c>
      <c r="H98" s="8" t="s">
        <v>16</v>
      </c>
      <c r="I98" s="23" t="s">
        <v>39</v>
      </c>
      <c r="J98" s="24" t="str">
        <f>_xlfn.XLOOKUP(B98,Sheet!A:A,Sheet!B:B,FALSE,)</f>
        <v>steve@synthesis.co.za</v>
      </c>
      <c r="K98" s="24" t="str">
        <f>_xlfn.XLOOKUP(B98,Sheet!A:A,Sheet!C:C,FALSE,)</f>
        <v>0765841148</v>
      </c>
    </row>
    <row r="99" spans="1:11" hidden="1">
      <c r="A99" s="7">
        <v>44941</v>
      </c>
      <c r="B99" s="21" t="s">
        <v>381</v>
      </c>
      <c r="C99" s="8" t="s">
        <v>382</v>
      </c>
      <c r="D99" s="8" t="s">
        <v>383</v>
      </c>
      <c r="E99" s="8" t="s">
        <v>73</v>
      </c>
      <c r="F99" s="8" t="s">
        <v>199</v>
      </c>
      <c r="G99" s="8" t="s">
        <v>22</v>
      </c>
      <c r="H99" s="8" t="s">
        <v>32</v>
      </c>
      <c r="I99" s="23" t="s">
        <v>39</v>
      </c>
      <c r="J99" s="24" t="str">
        <f>_xlfn.XLOOKUP(B99,Sheet!A:A,Sheet!B:B,FALSE,)</f>
        <v>suvarna@synthesis.co.za</v>
      </c>
      <c r="K99" s="24" t="str">
        <f>_xlfn.XLOOKUP(B99,Sheet!A:A,Sheet!C:C,FALSE,)</f>
        <v>0615090018</v>
      </c>
    </row>
    <row r="100" spans="1:11" hidden="1">
      <c r="A100" s="7">
        <v>44977</v>
      </c>
      <c r="B100" s="21" t="s">
        <v>384</v>
      </c>
      <c r="C100" s="8" t="s">
        <v>385</v>
      </c>
      <c r="D100" s="8" t="s">
        <v>386</v>
      </c>
      <c r="E100" s="8" t="s">
        <v>73</v>
      </c>
      <c r="F100" s="8" t="s">
        <v>122</v>
      </c>
      <c r="G100" s="8" t="s">
        <v>50</v>
      </c>
      <c r="H100" s="8" t="s">
        <v>16</v>
      </c>
      <c r="I100" s="23" t="s">
        <v>51</v>
      </c>
      <c r="J100" s="24" t="str">
        <f>_xlfn.XLOOKUP(B100,Sheet!A:A,Sheet!B:B,FALSE,)</f>
        <v>thabo@synthesis.co.za</v>
      </c>
      <c r="K100" s="24" t="str">
        <f>_xlfn.XLOOKUP(B100,Sheet!A:A,Sheet!C:C,FALSE,)</f>
        <v>0833945610</v>
      </c>
    </row>
    <row r="101" spans="1:11" hidden="1">
      <c r="A101" s="7">
        <v>44986</v>
      </c>
      <c r="B101" s="21" t="s">
        <v>387</v>
      </c>
      <c r="C101" s="8" t="s">
        <v>388</v>
      </c>
      <c r="D101" s="8" t="s">
        <v>389</v>
      </c>
      <c r="E101" s="8" t="s">
        <v>230</v>
      </c>
      <c r="F101" s="8" t="s">
        <v>390</v>
      </c>
      <c r="G101" s="8" t="s">
        <v>84</v>
      </c>
      <c r="H101" s="8" t="s">
        <v>32</v>
      </c>
      <c r="I101" s="23" t="s">
        <v>239</v>
      </c>
      <c r="J101" s="24" t="str">
        <f>_xlfn.XLOOKUP(B101,Sheet!A:A,Sheet!B:B,FALSE,)</f>
        <v>tezlin@synthesis.co.za</v>
      </c>
      <c r="K101" s="24" t="str">
        <f>_xlfn.XLOOKUP(B101,Sheet!A:A,Sheet!C:C,FALSE,)</f>
        <v>0662143592</v>
      </c>
    </row>
    <row r="102" spans="1:11" hidden="1">
      <c r="A102" s="7">
        <v>44986</v>
      </c>
      <c r="B102" s="21" t="s">
        <v>391</v>
      </c>
      <c r="C102" s="8" t="s">
        <v>392</v>
      </c>
      <c r="D102" s="8" t="s">
        <v>393</v>
      </c>
      <c r="E102" s="8" t="s">
        <v>43</v>
      </c>
      <c r="F102" s="8" t="s">
        <v>199</v>
      </c>
      <c r="G102" s="8" t="s">
        <v>15</v>
      </c>
      <c r="H102" s="8" t="s">
        <v>16</v>
      </c>
      <c r="I102" s="23" t="s">
        <v>39</v>
      </c>
      <c r="J102" s="24" t="str">
        <f>_xlfn.XLOOKUP(B102,Sheet!A:A,Sheet!B:B,FALSE,)</f>
        <v>Andries@synthesis.co.za</v>
      </c>
      <c r="K102" s="24" t="str">
        <f>_xlfn.XLOOKUP(B102,Sheet!A:A,Sheet!C:C,FALSE,)</f>
        <v>0828104282</v>
      </c>
    </row>
    <row r="103" spans="1:11" hidden="1">
      <c r="A103" s="7">
        <v>44986</v>
      </c>
      <c r="B103" s="21" t="s">
        <v>394</v>
      </c>
      <c r="C103" s="8" t="s">
        <v>395</v>
      </c>
      <c r="D103" s="8" t="s">
        <v>396</v>
      </c>
      <c r="E103" s="8" t="s">
        <v>43</v>
      </c>
      <c r="F103" s="8" t="s">
        <v>397</v>
      </c>
      <c r="G103" s="8" t="s">
        <v>15</v>
      </c>
      <c r="H103" s="8" t="s">
        <v>32</v>
      </c>
      <c r="I103" s="23" t="s">
        <v>39</v>
      </c>
      <c r="J103" s="24" t="str">
        <f>_xlfn.XLOOKUP(B103,Sheet!A:A,Sheet!B:B,FALSE,)</f>
        <v>Kate@synthesis.co.za</v>
      </c>
      <c r="K103" s="24" t="str">
        <f>_xlfn.XLOOKUP(B103,Sheet!A:A,Sheet!C:C,FALSE,)</f>
        <v>0820769217</v>
      </c>
    </row>
    <row r="104" spans="1:11">
      <c r="A104" s="7">
        <v>45019</v>
      </c>
      <c r="B104" s="21" t="s">
        <v>398</v>
      </c>
      <c r="C104" s="8" t="s">
        <v>399</v>
      </c>
      <c r="D104" s="8" t="s">
        <v>400</v>
      </c>
      <c r="E104" s="8" t="s">
        <v>113</v>
      </c>
      <c r="F104" s="8" t="s">
        <v>114</v>
      </c>
      <c r="G104" s="8" t="s">
        <v>15</v>
      </c>
      <c r="H104" s="8" t="s">
        <v>32</v>
      </c>
      <c r="I104" s="23" t="s">
        <v>51</v>
      </c>
      <c r="J104" s="24" t="str">
        <f>_xlfn.XLOOKUP(B104,Sheet!A:A,Sheet!B:B,FALSE,)</f>
        <v>Tashia@synthesis.co.za</v>
      </c>
      <c r="K104" s="24" t="str">
        <f>_xlfn.XLOOKUP(B104,Sheet!A:A,Sheet!C:C,FALSE,)</f>
        <v>0832752211</v>
      </c>
    </row>
    <row r="105" spans="1:11" hidden="1">
      <c r="A105" s="7">
        <v>45033</v>
      </c>
      <c r="B105" s="21" t="s">
        <v>401</v>
      </c>
      <c r="C105" s="8" t="s">
        <v>402</v>
      </c>
      <c r="D105" s="8" t="s">
        <v>403</v>
      </c>
      <c r="E105" s="8" t="s">
        <v>43</v>
      </c>
      <c r="F105" s="8" t="s">
        <v>156</v>
      </c>
      <c r="G105" s="8" t="s">
        <v>15</v>
      </c>
      <c r="H105" s="8" t="s">
        <v>16</v>
      </c>
      <c r="I105" s="23" t="s">
        <v>39</v>
      </c>
      <c r="J105" s="24" t="str">
        <f>_xlfn.XLOOKUP(B105,Sheet!A:A,Sheet!B:B,FALSE,)</f>
        <v>VincentV@synthesis.co.za</v>
      </c>
      <c r="K105" s="24" t="str">
        <f>_xlfn.XLOOKUP(B105,Sheet!A:A,Sheet!C:C,FALSE,)</f>
        <v>0798994275</v>
      </c>
    </row>
    <row r="106" spans="1:11" hidden="1">
      <c r="A106" s="7">
        <v>45089</v>
      </c>
      <c r="B106" s="21" t="s">
        <v>404</v>
      </c>
      <c r="C106" s="8" t="s">
        <v>405</v>
      </c>
      <c r="D106" s="8" t="s">
        <v>406</v>
      </c>
      <c r="E106" s="8" t="s">
        <v>73</v>
      </c>
      <c r="F106" s="8" t="s">
        <v>122</v>
      </c>
      <c r="G106" s="8" t="s">
        <v>84</v>
      </c>
      <c r="H106" s="8" t="s">
        <v>16</v>
      </c>
      <c r="I106" s="23" t="s">
        <v>51</v>
      </c>
      <c r="J106" s="24" t="str">
        <f>_xlfn.XLOOKUP(B106,Sheet!A:A,Sheet!B:B,FALSE,)</f>
        <v>jarryd@synthesis.co.za</v>
      </c>
      <c r="K106" s="24" t="str">
        <f>_xlfn.XLOOKUP(B106,Sheet!A:A,Sheet!C:C,FALSE,)</f>
        <v>0826912258</v>
      </c>
    </row>
    <row r="107" spans="1:11" hidden="1">
      <c r="A107" s="7">
        <v>45110</v>
      </c>
      <c r="B107" s="21" t="s">
        <v>407</v>
      </c>
      <c r="C107" s="8" t="s">
        <v>408</v>
      </c>
      <c r="D107" s="8" t="s">
        <v>409</v>
      </c>
      <c r="E107" s="8" t="s">
        <v>48</v>
      </c>
      <c r="F107" s="8" t="s">
        <v>49</v>
      </c>
      <c r="G107" s="8" t="s">
        <v>50</v>
      </c>
      <c r="H107" s="8" t="s">
        <v>16</v>
      </c>
      <c r="I107" s="23" t="s">
        <v>51</v>
      </c>
      <c r="J107" s="24" t="str">
        <f>_xlfn.XLOOKUP(B107,Sheet!A:A,Sheet!B:B,FALSE,)</f>
        <v>Zimisele@synthesis.co.za</v>
      </c>
      <c r="K107" s="24" t="str">
        <f>_xlfn.XLOOKUP(B107,Sheet!A:A,Sheet!C:C,FALSE,)</f>
        <v>0794792202</v>
      </c>
    </row>
    <row r="108" spans="1:11" hidden="1">
      <c r="A108" s="7">
        <v>45139</v>
      </c>
      <c r="B108" s="21" t="s">
        <v>410</v>
      </c>
      <c r="C108" s="8" t="s">
        <v>411</v>
      </c>
      <c r="D108" s="8" t="s">
        <v>412</v>
      </c>
      <c r="E108" s="8" t="s">
        <v>73</v>
      </c>
      <c r="F108" s="8" t="s">
        <v>122</v>
      </c>
      <c r="G108" s="8" t="s">
        <v>84</v>
      </c>
      <c r="H108" s="8" t="s">
        <v>16</v>
      </c>
      <c r="I108" s="23" t="s">
        <v>51</v>
      </c>
      <c r="J108" s="24" t="str">
        <f>_xlfn.XLOOKUP(B108,Sheet!A:A,Sheet!B:B,FALSE,)</f>
        <v>Chase@synthesis.co.za</v>
      </c>
      <c r="K108" s="24" t="str">
        <f>_xlfn.XLOOKUP(B108,Sheet!A:A,Sheet!C:C,FALSE,)</f>
        <v>0837002384</v>
      </c>
    </row>
    <row r="109" spans="1:11" hidden="1">
      <c r="A109" s="7">
        <v>45139</v>
      </c>
      <c r="B109" s="21" t="s">
        <v>413</v>
      </c>
      <c r="C109" s="8" t="s">
        <v>414</v>
      </c>
      <c r="D109" s="8" t="s">
        <v>415</v>
      </c>
      <c r="E109" s="8" t="s">
        <v>13</v>
      </c>
      <c r="F109" s="8" t="s">
        <v>416</v>
      </c>
      <c r="G109" s="8" t="s">
        <v>15</v>
      </c>
      <c r="H109" s="8" t="s">
        <v>16</v>
      </c>
      <c r="I109" s="23" t="s">
        <v>98</v>
      </c>
      <c r="J109" s="24" t="str">
        <f>_xlfn.XLOOKUP(B109,Sheet!A:A,Sheet!B:B,FALSE,)</f>
        <v>Paul@synthesis.co.za</v>
      </c>
      <c r="K109" s="24" t="str">
        <f>_xlfn.XLOOKUP(B109,Sheet!A:A,Sheet!C:C,FALSE,)</f>
        <v>0836474045</v>
      </c>
    </row>
    <row r="110" spans="1:11" hidden="1">
      <c r="A110" s="7">
        <v>45139</v>
      </c>
      <c r="B110" s="21" t="s">
        <v>417</v>
      </c>
      <c r="C110" s="8" t="s">
        <v>418</v>
      </c>
      <c r="D110" s="8" t="s">
        <v>419</v>
      </c>
      <c r="E110" s="8" t="s">
        <v>420</v>
      </c>
      <c r="F110" s="8" t="s">
        <v>143</v>
      </c>
      <c r="G110" s="8" t="s">
        <v>50</v>
      </c>
      <c r="H110" s="8" t="s">
        <v>16</v>
      </c>
      <c r="I110" s="23" t="s">
        <v>39</v>
      </c>
      <c r="J110" s="24" t="str">
        <f>_xlfn.XLOOKUP(B110,Sheet!A:A,Sheet!B:B,FALSE,)</f>
        <v>LindaniM@synthesis.co.za</v>
      </c>
      <c r="K110" s="24" t="str">
        <f>_xlfn.XLOOKUP(B110,Sheet!A:A,Sheet!C:C,FALSE,)</f>
        <v>0711171524</v>
      </c>
    </row>
    <row r="111" spans="1:11">
      <c r="A111" s="7">
        <v>45153</v>
      </c>
      <c r="B111" s="21" t="s">
        <v>421</v>
      </c>
      <c r="C111" s="8" t="s">
        <v>422</v>
      </c>
      <c r="D111" s="8" t="s">
        <v>423</v>
      </c>
      <c r="E111" s="8" t="s">
        <v>113</v>
      </c>
      <c r="F111" s="8" t="s">
        <v>114</v>
      </c>
      <c r="G111" s="8" t="s">
        <v>15</v>
      </c>
      <c r="H111" s="8" t="s">
        <v>32</v>
      </c>
      <c r="I111" s="23" t="s">
        <v>39</v>
      </c>
      <c r="J111" s="24" t="str">
        <f>_xlfn.XLOOKUP(B111,Sheet!A:A,Sheet!B:B,FALSE,)</f>
        <v>nikita@synthesis.co.za</v>
      </c>
      <c r="K111" s="24" t="str">
        <f>_xlfn.XLOOKUP(B111,Sheet!A:A,Sheet!C:C,FALSE,)</f>
        <v>0605204725</v>
      </c>
    </row>
    <row r="112" spans="1:11" hidden="1">
      <c r="A112" s="7">
        <v>45139</v>
      </c>
      <c r="B112" s="21" t="s">
        <v>424</v>
      </c>
      <c r="C112" s="8" t="s">
        <v>425</v>
      </c>
      <c r="D112" s="8" t="s">
        <v>426</v>
      </c>
      <c r="E112" s="8" t="s">
        <v>37</v>
      </c>
      <c r="F112" s="8" t="s">
        <v>209</v>
      </c>
      <c r="G112" s="8" t="s">
        <v>50</v>
      </c>
      <c r="H112" s="8" t="s">
        <v>32</v>
      </c>
      <c r="I112" s="23" t="s">
        <v>210</v>
      </c>
      <c r="J112" s="24"/>
      <c r="K112" s="24" t="str">
        <f>_xlfn.XLOOKUP(B112,Sheet!A:A,Sheet!C:C,FALSE,)</f>
        <v>0765181416</v>
      </c>
    </row>
    <row r="113" spans="1:11" hidden="1">
      <c r="A113" s="7">
        <v>45170</v>
      </c>
      <c r="B113" s="21" t="s">
        <v>427</v>
      </c>
      <c r="C113" s="8" t="s">
        <v>428</v>
      </c>
      <c r="D113" s="8" t="s">
        <v>429</v>
      </c>
      <c r="E113" s="8" t="s">
        <v>37</v>
      </c>
      <c r="F113" s="8" t="s">
        <v>209</v>
      </c>
      <c r="G113" s="8" t="s">
        <v>50</v>
      </c>
      <c r="H113" s="8" t="s">
        <v>32</v>
      </c>
      <c r="I113" s="23" t="s">
        <v>210</v>
      </c>
      <c r="J113" s="24"/>
      <c r="K113" s="24" t="str">
        <f>_xlfn.XLOOKUP(B113,Sheet!A:A,Sheet!C:C,FALSE,)</f>
        <v>0660347965</v>
      </c>
    </row>
    <row r="114" spans="1:11" hidden="1">
      <c r="A114" s="7">
        <v>45231</v>
      </c>
      <c r="B114" s="21" t="s">
        <v>430</v>
      </c>
      <c r="C114" s="8" t="s">
        <v>431</v>
      </c>
      <c r="D114" s="8" t="s">
        <v>432</v>
      </c>
      <c r="E114" s="8" t="s">
        <v>55</v>
      </c>
      <c r="F114" s="8" t="s">
        <v>433</v>
      </c>
      <c r="G114" s="8" t="s">
        <v>15</v>
      </c>
      <c r="H114" s="8" t="s">
        <v>16</v>
      </c>
      <c r="I114" s="23" t="s">
        <v>33</v>
      </c>
      <c r="J114" s="24" t="str">
        <f>_xlfn.XLOOKUP(B114,Sheet!A:A,Sheet!B:B,FALSE,)</f>
        <v>marcus@synthesis.co.za</v>
      </c>
      <c r="K114" s="24" t="str">
        <f>_xlfn.XLOOKUP(B114,Sheet!A:A,Sheet!C:C,FALSE,)</f>
        <v>0835675968</v>
      </c>
    </row>
    <row r="115" spans="1:11" hidden="1">
      <c r="A115" s="7">
        <v>45231</v>
      </c>
      <c r="B115" s="21" t="s">
        <v>434</v>
      </c>
      <c r="C115" s="8" t="s">
        <v>435</v>
      </c>
      <c r="D115" s="8" t="s">
        <v>436</v>
      </c>
      <c r="E115" s="8" t="s">
        <v>73</v>
      </c>
      <c r="F115" s="8" t="s">
        <v>122</v>
      </c>
      <c r="G115" s="8" t="s">
        <v>15</v>
      </c>
      <c r="H115" s="8" t="s">
        <v>32</v>
      </c>
      <c r="I115" s="23" t="s">
        <v>51</v>
      </c>
      <c r="J115" s="24" t="str">
        <f>_xlfn.XLOOKUP(B115,Sheet!A:A,Sheet!B:B,FALSE,)</f>
        <v>michaela@synthesis.co.za</v>
      </c>
      <c r="K115" s="24" t="str">
        <f>_xlfn.XLOOKUP(B115,Sheet!A:A,Sheet!C:C,FALSE,)</f>
        <v>0721619382</v>
      </c>
    </row>
    <row r="116" spans="1:11" hidden="1">
      <c r="A116" s="7">
        <v>45299</v>
      </c>
      <c r="B116" s="21" t="s">
        <v>437</v>
      </c>
      <c r="C116" s="8" t="s">
        <v>438</v>
      </c>
      <c r="D116" s="8" t="s">
        <v>242</v>
      </c>
      <c r="E116" s="8" t="s">
        <v>37</v>
      </c>
      <c r="F116" s="8" t="s">
        <v>439</v>
      </c>
      <c r="G116" s="8" t="s">
        <v>15</v>
      </c>
      <c r="H116" s="8" t="s">
        <v>32</v>
      </c>
      <c r="I116" s="23" t="s">
        <v>39</v>
      </c>
      <c r="J116" s="24" t="str">
        <f>_xlfn.XLOOKUP(B116,Sheet!A:A,Sheet!B:B,FALSE,)</f>
        <v>kimk@synthesis.co.za</v>
      </c>
      <c r="K116" s="24" t="str">
        <f>_xlfn.XLOOKUP(B116,Sheet!A:A,Sheet!C:C,FALSE,)</f>
        <v>0836012750</v>
      </c>
    </row>
    <row r="117" spans="1:11" hidden="1">
      <c r="A117" s="7">
        <v>45323</v>
      </c>
      <c r="B117" s="21" t="s">
        <v>440</v>
      </c>
      <c r="C117" s="8" t="s">
        <v>441</v>
      </c>
      <c r="D117" s="8" t="s">
        <v>442</v>
      </c>
      <c r="E117" s="8" t="s">
        <v>151</v>
      </c>
      <c r="F117" s="8" t="s">
        <v>365</v>
      </c>
      <c r="G117" s="8" t="s">
        <v>50</v>
      </c>
      <c r="H117" s="8" t="s">
        <v>16</v>
      </c>
      <c r="I117" s="23" t="s">
        <v>39</v>
      </c>
      <c r="J117" s="24" t="str">
        <f>_xlfn.XLOOKUP(B117,Sheet!A:A,Sheet!B:B,FALSE,)</f>
        <v>njabulo@synthesis.co.za</v>
      </c>
      <c r="K117" s="24" t="str">
        <f>_xlfn.XLOOKUP(B117,Sheet!A:A,Sheet!C:C,FALSE,)</f>
        <v>0680167887</v>
      </c>
    </row>
    <row r="118" spans="1:11" hidden="1">
      <c r="A118" s="7">
        <v>45323</v>
      </c>
      <c r="B118" s="21" t="s">
        <v>443</v>
      </c>
      <c r="C118" s="8" t="s">
        <v>444</v>
      </c>
      <c r="D118" s="8" t="s">
        <v>445</v>
      </c>
      <c r="E118" s="8" t="s">
        <v>73</v>
      </c>
      <c r="F118" s="8" t="s">
        <v>156</v>
      </c>
      <c r="G118" s="8" t="s">
        <v>15</v>
      </c>
      <c r="H118" s="8" t="s">
        <v>16</v>
      </c>
      <c r="I118" s="23" t="s">
        <v>39</v>
      </c>
      <c r="J118" s="24" t="str">
        <f>_xlfn.XLOOKUP(B118,Sheet!A:A,Sheet!B:B,FALSE,)</f>
        <v>Zander@synthesis.co.za</v>
      </c>
      <c r="K118" s="24" t="str">
        <f>_xlfn.XLOOKUP(B118,Sheet!A:A,Sheet!C:C,FALSE,)</f>
        <v>0826540532</v>
      </c>
    </row>
    <row r="119" spans="1:11" hidden="1">
      <c r="A119" s="7">
        <v>45323</v>
      </c>
      <c r="B119" s="21" t="s">
        <v>446</v>
      </c>
      <c r="C119" s="8" t="s">
        <v>447</v>
      </c>
      <c r="D119" s="8" t="s">
        <v>448</v>
      </c>
      <c r="E119" s="8" t="s">
        <v>55</v>
      </c>
      <c r="F119" s="8" t="s">
        <v>449</v>
      </c>
      <c r="G119" s="8" t="s">
        <v>22</v>
      </c>
      <c r="H119" s="8" t="s">
        <v>16</v>
      </c>
      <c r="I119" s="23" t="s">
        <v>239</v>
      </c>
      <c r="J119" s="24" t="str">
        <f>_xlfn.XLOOKUP(B119,Sheet!A:A,Sheet!B:B,FALSE,)</f>
        <v>Teveshan@synthesis.co.za</v>
      </c>
      <c r="K119" s="24" t="str">
        <f>_xlfn.XLOOKUP(B119,Sheet!A:A,Sheet!C:C,FALSE,)</f>
        <v>0614834485</v>
      </c>
    </row>
    <row r="120" spans="1:11" hidden="1">
      <c r="A120" s="7">
        <v>45323</v>
      </c>
      <c r="B120" s="21" t="s">
        <v>450</v>
      </c>
      <c r="C120" s="8" t="s">
        <v>451</v>
      </c>
      <c r="D120" s="8" t="s">
        <v>452</v>
      </c>
      <c r="E120" s="8" t="s">
        <v>55</v>
      </c>
      <c r="F120" s="8" t="s">
        <v>156</v>
      </c>
      <c r="G120" s="8" t="s">
        <v>15</v>
      </c>
      <c r="H120" s="8" t="s">
        <v>16</v>
      </c>
      <c r="I120" s="23" t="s">
        <v>39</v>
      </c>
      <c r="J120" s="24" t="str">
        <f>_xlfn.XLOOKUP(B120,Sheet!A:A,Sheet!B:B,FALSE,)</f>
        <v>Liad@synthesis.co.za</v>
      </c>
      <c r="K120" s="24" t="str">
        <f>_xlfn.XLOOKUP(B120,Sheet!A:A,Sheet!C:C,FALSE,)</f>
        <v>0711770662</v>
      </c>
    </row>
    <row r="121" spans="1:11" hidden="1">
      <c r="A121" s="7">
        <v>45352</v>
      </c>
      <c r="B121" s="21" t="s">
        <v>453</v>
      </c>
      <c r="C121" s="8" t="s">
        <v>454</v>
      </c>
      <c r="D121" s="8" t="s">
        <v>455</v>
      </c>
      <c r="E121" s="8" t="s">
        <v>43</v>
      </c>
      <c r="F121" s="8" t="s">
        <v>122</v>
      </c>
      <c r="G121" s="8" t="s">
        <v>50</v>
      </c>
      <c r="H121" s="8" t="s">
        <v>16</v>
      </c>
      <c r="I121" s="23" t="s">
        <v>51</v>
      </c>
      <c r="J121" s="24" t="str">
        <f>_xlfn.XLOOKUP(B121,Sheet!A:A,Sheet!B:B,FALSE,)</f>
        <v>frederick@synthesis.co.za</v>
      </c>
      <c r="K121" s="24" t="str">
        <f>_xlfn.XLOOKUP(B121,Sheet!A:A,Sheet!C:C,FALSE,)</f>
        <v>0782000470</v>
      </c>
    </row>
    <row r="122" spans="1:11" hidden="1">
      <c r="A122" s="7">
        <v>44652</v>
      </c>
      <c r="B122" s="21" t="s">
        <v>456</v>
      </c>
      <c r="C122" s="8" t="s">
        <v>457</v>
      </c>
      <c r="D122" s="8" t="s">
        <v>458</v>
      </c>
      <c r="E122" s="8" t="s">
        <v>55</v>
      </c>
      <c r="F122" s="8" t="s">
        <v>262</v>
      </c>
      <c r="G122" s="8" t="s">
        <v>50</v>
      </c>
      <c r="H122" s="8" t="s">
        <v>16</v>
      </c>
      <c r="I122" s="23" t="s">
        <v>39</v>
      </c>
      <c r="J122" s="24" t="str">
        <f>_xlfn.XLOOKUP(B122,Sheet!A:A,Sheet!B:B,FALSE,)</f>
        <v>onke@synthesis.co.za</v>
      </c>
      <c r="K122" s="24" t="str">
        <f>_xlfn.XLOOKUP(B122,Sheet!A:A,Sheet!C:C,FALSE,)</f>
        <v>0723226121</v>
      </c>
    </row>
    <row r="123" spans="1:11" hidden="1">
      <c r="A123" s="7">
        <v>44652</v>
      </c>
      <c r="B123" s="21" t="s">
        <v>459</v>
      </c>
      <c r="C123" s="8" t="s">
        <v>460</v>
      </c>
      <c r="D123" s="8" t="s">
        <v>461</v>
      </c>
      <c r="E123" s="8" t="s">
        <v>55</v>
      </c>
      <c r="F123" s="8" t="s">
        <v>462</v>
      </c>
      <c r="G123" s="8" t="s">
        <v>50</v>
      </c>
      <c r="H123" s="8" t="s">
        <v>16</v>
      </c>
      <c r="I123" s="23" t="s">
        <v>51</v>
      </c>
      <c r="J123" s="24" t="str">
        <f>_xlfn.XLOOKUP(B123,Sheet!A:A,Sheet!B:B,FALSE,)</f>
        <v>prince@synthesis.co.za</v>
      </c>
      <c r="K123" s="24" t="str">
        <f>_xlfn.XLOOKUP(B123,Sheet!A:A,Sheet!C:C,FALSE,)</f>
        <v>0748812238</v>
      </c>
    </row>
    <row r="124" spans="1:11" hidden="1">
      <c r="A124" s="7">
        <v>45536</v>
      </c>
      <c r="B124" s="21" t="s">
        <v>463</v>
      </c>
      <c r="C124" s="8" t="s">
        <v>402</v>
      </c>
      <c r="D124" s="8" t="s">
        <v>464</v>
      </c>
      <c r="E124" s="8" t="s">
        <v>60</v>
      </c>
      <c r="F124" s="8" t="s">
        <v>465</v>
      </c>
      <c r="G124" s="8" t="s">
        <v>15</v>
      </c>
      <c r="H124" s="8" t="s">
        <v>16</v>
      </c>
      <c r="I124" s="23" t="s">
        <v>51</v>
      </c>
      <c r="J124" s="24" t="str">
        <f>_xlfn.XLOOKUP(B124,Sheet!A:A,Sheet!B:B,FALSE,)</f>
        <v>vincentdc@synthesis.co.za</v>
      </c>
      <c r="K124" s="24" t="str">
        <f>_xlfn.XLOOKUP(B124,Sheet!A:A,Sheet!C:C,FALSE,)</f>
        <v>0726974424</v>
      </c>
    </row>
    <row r="125" spans="1:11" hidden="1">
      <c r="A125" s="7">
        <v>45602</v>
      </c>
      <c r="B125" s="21" t="s">
        <v>466</v>
      </c>
      <c r="C125" s="8" t="s">
        <v>467</v>
      </c>
      <c r="D125" s="8" t="s">
        <v>468</v>
      </c>
      <c r="E125" s="8" t="s">
        <v>60</v>
      </c>
      <c r="F125" s="8" t="s">
        <v>469</v>
      </c>
      <c r="G125" s="8" t="s">
        <v>15</v>
      </c>
      <c r="H125" s="8" t="s">
        <v>16</v>
      </c>
      <c r="I125" s="23" t="s">
        <v>33</v>
      </c>
      <c r="J125" s="24" t="str">
        <f>_xlfn.XLOOKUP(B125,Sheet!A:A,Sheet!B:B,FALSE,)</f>
        <v>dirk@synthesis.co.za</v>
      </c>
      <c r="K125" s="24" t="str">
        <f>_xlfn.XLOOKUP(B125,Sheet!A:A,Sheet!C:C,FALSE,)</f>
        <v>0609883832</v>
      </c>
    </row>
    <row r="126" spans="1:11" hidden="1">
      <c r="A126" s="7">
        <v>45628</v>
      </c>
      <c r="B126" s="21" t="s">
        <v>470</v>
      </c>
      <c r="C126" s="8" t="s">
        <v>471</v>
      </c>
      <c r="D126" s="8" t="s">
        <v>472</v>
      </c>
      <c r="E126" s="8" t="s">
        <v>48</v>
      </c>
      <c r="F126" s="8" t="s">
        <v>473</v>
      </c>
      <c r="G126" s="8" t="s">
        <v>50</v>
      </c>
      <c r="H126" s="8" t="s">
        <v>16</v>
      </c>
      <c r="I126" s="23" t="s">
        <v>39</v>
      </c>
      <c r="J126" s="24" t="str">
        <f>_xlfn.XLOOKUP(B126,Sheet!A:A,Sheet!B:B,FALSE,)</f>
        <v>velaphi@synthesis.co.za</v>
      </c>
      <c r="K126" s="24" t="str">
        <f>_xlfn.XLOOKUP(B126,Sheet!A:A,Sheet!C:C,FALSE,)</f>
        <v>0786085556</v>
      </c>
    </row>
    <row r="127" spans="1:11" hidden="1">
      <c r="A127" s="7">
        <v>45663</v>
      </c>
      <c r="B127" s="21" t="s">
        <v>474</v>
      </c>
      <c r="C127" s="8" t="s">
        <v>71</v>
      </c>
      <c r="D127" s="8" t="s">
        <v>475</v>
      </c>
      <c r="E127" s="8" t="s">
        <v>37</v>
      </c>
      <c r="F127" s="8" t="s">
        <v>476</v>
      </c>
      <c r="G127" s="8" t="s">
        <v>50</v>
      </c>
      <c r="H127" s="8" t="s">
        <v>16</v>
      </c>
      <c r="I127" s="23" t="s">
        <v>39</v>
      </c>
      <c r="J127" s="24" t="str">
        <f>_xlfn.XLOOKUP(B127,Sheet!A:A,Sheet!B:B,FALSE,)</f>
        <v>craign@synthesis.co.za</v>
      </c>
      <c r="K127" s="24" t="str">
        <f>_xlfn.XLOOKUP(B127,Sheet!A:A,Sheet!C:C,FALSE,)</f>
        <v>0679588123</v>
      </c>
    </row>
    <row r="128" spans="1:11" hidden="1">
      <c r="A128" s="7">
        <v>45663</v>
      </c>
      <c r="B128" s="21" t="s">
        <v>477</v>
      </c>
      <c r="C128" s="8" t="s">
        <v>478</v>
      </c>
      <c r="D128" s="8" t="s">
        <v>479</v>
      </c>
      <c r="E128" s="8" t="s">
        <v>48</v>
      </c>
      <c r="F128" s="8" t="s">
        <v>480</v>
      </c>
      <c r="G128" s="8" t="s">
        <v>15</v>
      </c>
      <c r="H128" s="8" t="s">
        <v>32</v>
      </c>
      <c r="I128" s="23" t="s">
        <v>39</v>
      </c>
      <c r="J128" s="24" t="str">
        <f>_xlfn.XLOOKUP(B128,Sheet!A:A,Sheet!B:B,FALSE,)</f>
        <v>Clara@synthesis.co.za</v>
      </c>
      <c r="K128" s="24" t="str">
        <f>_xlfn.XLOOKUP(B128,Sheet!A:A,Sheet!C:C,FALSE,)</f>
        <v>0827187974</v>
      </c>
    </row>
    <row r="129" spans="1:11" hidden="1">
      <c r="A129" s="7">
        <v>45677</v>
      </c>
      <c r="B129" s="21" t="s">
        <v>481</v>
      </c>
      <c r="C129" s="8" t="s">
        <v>482</v>
      </c>
      <c r="D129" s="8" t="s">
        <v>483</v>
      </c>
      <c r="E129" s="8" t="s">
        <v>73</v>
      </c>
      <c r="F129" s="8" t="s">
        <v>156</v>
      </c>
      <c r="G129" s="8" t="s">
        <v>22</v>
      </c>
      <c r="H129" s="8" t="s">
        <v>32</v>
      </c>
      <c r="I129" s="23" t="s">
        <v>39</v>
      </c>
      <c r="J129" s="24" t="str">
        <f>_xlfn.XLOOKUP(B129,Sheet!A:A,Sheet!B:B,FALSE,)</f>
        <v>shulka@synthesis.co.za</v>
      </c>
      <c r="K129" s="24" t="str">
        <f>_xlfn.XLOOKUP(B129,Sheet!A:A,Sheet!C:C,FALSE,)</f>
        <v>0796212786</v>
      </c>
    </row>
    <row r="130" spans="1:11" hidden="1">
      <c r="A130" s="7">
        <v>45689</v>
      </c>
      <c r="B130" s="21" t="s">
        <v>484</v>
      </c>
      <c r="C130" s="8" t="s">
        <v>485</v>
      </c>
      <c r="D130" s="8" t="s">
        <v>486</v>
      </c>
      <c r="E130" s="8" t="s">
        <v>20</v>
      </c>
      <c r="F130" s="8" t="s">
        <v>83</v>
      </c>
      <c r="G130" s="8" t="s">
        <v>84</v>
      </c>
      <c r="H130" s="8" t="s">
        <v>16</v>
      </c>
      <c r="I130" s="23" t="s">
        <v>39</v>
      </c>
      <c r="J130" s="24" t="str">
        <f>_xlfn.XLOOKUP(B130,Sheet!A:A,Sheet!B:B,FALSE,)</f>
        <v>ivan.williams@synthesis.co.za</v>
      </c>
      <c r="K130" s="24" t="str">
        <f>_xlfn.XLOOKUP(B130,Sheet!A:A,Sheet!C:C,FALSE,)</f>
        <v>0649529066</v>
      </c>
    </row>
    <row r="131" spans="1:11" hidden="1">
      <c r="A131" s="7">
        <v>45689</v>
      </c>
      <c r="B131" s="21" t="s">
        <v>487</v>
      </c>
      <c r="C131" s="8" t="s">
        <v>488</v>
      </c>
      <c r="D131" s="8" t="s">
        <v>489</v>
      </c>
      <c r="E131" s="8" t="s">
        <v>20</v>
      </c>
      <c r="F131" s="8" t="s">
        <v>83</v>
      </c>
      <c r="G131" s="8" t="s">
        <v>50</v>
      </c>
      <c r="H131" s="8" t="s">
        <v>16</v>
      </c>
      <c r="I131" s="23" t="s">
        <v>239</v>
      </c>
      <c r="J131" s="24" t="str">
        <f>_xlfn.XLOOKUP(B131,Sheet!A:A,Sheet!B:B,FALSE,)</f>
        <v>sihle@synthesis.co.za</v>
      </c>
      <c r="K131" s="24" t="str">
        <f>_xlfn.XLOOKUP(B131,Sheet!A:A,Sheet!C:C,FALSE,)</f>
        <v>0839578644</v>
      </c>
    </row>
    <row r="132" spans="1:11" hidden="1">
      <c r="A132" s="7">
        <v>45691</v>
      </c>
      <c r="B132" s="21" t="s">
        <v>490</v>
      </c>
      <c r="C132" s="8" t="s">
        <v>491</v>
      </c>
      <c r="D132" s="8" t="s">
        <v>492</v>
      </c>
      <c r="E132" s="8" t="s">
        <v>73</v>
      </c>
      <c r="F132" s="8" t="s">
        <v>493</v>
      </c>
      <c r="G132" s="8" t="s">
        <v>15</v>
      </c>
      <c r="H132" s="8" t="s">
        <v>32</v>
      </c>
      <c r="I132" s="23" t="s">
        <v>494</v>
      </c>
      <c r="J132" s="24" t="str">
        <f>_xlfn.XLOOKUP(B132,Sheet!A:A,Sheet!B:B,FALSE,)</f>
        <v>Dalya@synthesis.co.za</v>
      </c>
      <c r="K132" s="24" t="str">
        <f>_xlfn.XLOOKUP(B132,Sheet!A:A,Sheet!C:C,FALSE,)</f>
        <v>0828407744</v>
      </c>
    </row>
    <row r="133" spans="1:11" hidden="1">
      <c r="A133" s="7">
        <v>45691</v>
      </c>
      <c r="B133" s="21" t="s">
        <v>495</v>
      </c>
      <c r="C133" s="8" t="s">
        <v>431</v>
      </c>
      <c r="D133" s="8" t="s">
        <v>496</v>
      </c>
      <c r="E133" s="8" t="s">
        <v>60</v>
      </c>
      <c r="F133" s="8" t="s">
        <v>497</v>
      </c>
      <c r="G133" s="8" t="s">
        <v>50</v>
      </c>
      <c r="H133" s="8" t="s">
        <v>16</v>
      </c>
      <c r="I133" s="23" t="s">
        <v>39</v>
      </c>
      <c r="J133" s="24" t="str">
        <f>_xlfn.XLOOKUP(B133,Sheet!A:A,Sheet!B:B,FALSE,)</f>
        <v>marcus.mahlatjie@synthesis.co.za</v>
      </c>
      <c r="K133" s="24" t="str">
        <f>_xlfn.XLOOKUP(B133,Sheet!A:A,Sheet!C:C,FALSE,)</f>
        <v>0743380562</v>
      </c>
    </row>
    <row r="134" spans="1:11" hidden="1">
      <c r="A134" s="7">
        <v>45691</v>
      </c>
      <c r="B134" s="21" t="s">
        <v>498</v>
      </c>
      <c r="C134" s="8" t="s">
        <v>499</v>
      </c>
      <c r="D134" s="8" t="s">
        <v>500</v>
      </c>
      <c r="E134" s="8" t="s">
        <v>20</v>
      </c>
      <c r="F134" s="8" t="s">
        <v>199</v>
      </c>
      <c r="G134" s="8" t="s">
        <v>15</v>
      </c>
      <c r="H134" s="8" t="s">
        <v>16</v>
      </c>
      <c r="I134" s="23" t="s">
        <v>239</v>
      </c>
      <c r="J134" s="24" t="str">
        <f>_xlfn.XLOOKUP(B134,Sheet!A:A,Sheet!B:B,FALSE,)</f>
        <v>asher@synthesis.co.za</v>
      </c>
      <c r="K134" s="24" t="str">
        <f>_xlfn.XLOOKUP(B134,Sheet!A:A,Sheet!C:C,FALSE,)</f>
        <v>0826384775</v>
      </c>
    </row>
    <row r="135" spans="1:11" hidden="1">
      <c r="A135" s="7">
        <v>45705</v>
      </c>
      <c r="B135" s="21" t="s">
        <v>501</v>
      </c>
      <c r="C135" s="8" t="s">
        <v>502</v>
      </c>
      <c r="D135" s="8" t="s">
        <v>503</v>
      </c>
      <c r="E135" s="8" t="s">
        <v>78</v>
      </c>
      <c r="F135" s="8" t="s">
        <v>504</v>
      </c>
      <c r="G135" s="8" t="s">
        <v>15</v>
      </c>
      <c r="H135" s="8" t="s">
        <v>16</v>
      </c>
      <c r="I135" s="23" t="s">
        <v>23</v>
      </c>
      <c r="J135" s="24" t="str">
        <f>_xlfn.XLOOKUP(B135,Sheet!A:A,Sheet!B:B,FALSE,)</f>
        <v>shaun@synthesis.co.za</v>
      </c>
      <c r="K135" s="24" t="str">
        <f>_xlfn.XLOOKUP(B135,Sheet!A:A,Sheet!C:C,FALSE,)</f>
        <v>0727990200</v>
      </c>
    </row>
    <row r="136" spans="1:11" hidden="1">
      <c r="A136" s="7">
        <v>45733</v>
      </c>
      <c r="B136" s="21" t="s">
        <v>505</v>
      </c>
      <c r="C136" s="8" t="s">
        <v>506</v>
      </c>
      <c r="D136" s="8" t="s">
        <v>507</v>
      </c>
      <c r="E136" s="8" t="s">
        <v>37</v>
      </c>
      <c r="F136" s="8" t="s">
        <v>439</v>
      </c>
      <c r="G136" s="8" t="s">
        <v>84</v>
      </c>
      <c r="H136" s="8" t="s">
        <v>32</v>
      </c>
      <c r="I136" s="23" t="s">
        <v>39</v>
      </c>
      <c r="J136" s="24" t="str">
        <f>_xlfn.XLOOKUP(B136,Sheet!A:A,Sheet!B:B,FALSE,)</f>
        <v>amber@synthesis.co.za</v>
      </c>
      <c r="K136" s="24" t="str">
        <f>_xlfn.XLOOKUP(B136,Sheet!A:A,Sheet!C:C,FALSE,)</f>
        <v>0643800637</v>
      </c>
    </row>
    <row r="137" spans="1:11" hidden="1">
      <c r="A137" s="7">
        <v>45733</v>
      </c>
      <c r="B137" s="21" t="s">
        <v>508</v>
      </c>
      <c r="C137" s="8" t="s">
        <v>509</v>
      </c>
      <c r="D137" s="8" t="s">
        <v>510</v>
      </c>
      <c r="E137" s="8" t="s">
        <v>55</v>
      </c>
      <c r="F137" s="8" t="s">
        <v>143</v>
      </c>
      <c r="G137" s="8" t="s">
        <v>15</v>
      </c>
      <c r="H137" s="8" t="s">
        <v>32</v>
      </c>
      <c r="I137" s="23" t="s">
        <v>39</v>
      </c>
      <c r="J137" s="24" t="str">
        <f>_xlfn.XLOOKUP(B137,Sheet!A:A,Sheet!B:B,FALSE,)</f>
        <v>amy@synthesis.co.za</v>
      </c>
      <c r="K137" s="24" t="str">
        <f>_xlfn.XLOOKUP(B137,Sheet!A:A,Sheet!C:C,FALSE,)</f>
        <v>0715234393</v>
      </c>
    </row>
    <row r="138" spans="1:11" hidden="1">
      <c r="A138" s="7">
        <v>45748</v>
      </c>
      <c r="B138" s="21" t="s">
        <v>511</v>
      </c>
      <c r="C138" s="8" t="s">
        <v>19</v>
      </c>
      <c r="D138" s="8" t="s">
        <v>512</v>
      </c>
      <c r="E138" s="8" t="s">
        <v>73</v>
      </c>
      <c r="F138" s="8" t="s">
        <v>156</v>
      </c>
      <c r="G138" s="8" t="s">
        <v>84</v>
      </c>
      <c r="H138" s="8" t="s">
        <v>16</v>
      </c>
      <c r="I138" s="23" t="s">
        <v>39</v>
      </c>
      <c r="J138" s="24" t="str">
        <f>_xlfn.XLOOKUP(B138,Sheet!A:A,Sheet!B:B,FALSE,)</f>
        <v>ahmed.rahimi@synthesis.co.za</v>
      </c>
      <c r="K138" s="24" t="str">
        <f>_xlfn.XLOOKUP(B138,Sheet!A:A,Sheet!C:C,FALSE,)</f>
        <v>0662211233</v>
      </c>
    </row>
    <row r="139" spans="1:11" hidden="1">
      <c r="A139" s="7">
        <v>45748</v>
      </c>
      <c r="B139" s="21" t="s">
        <v>513</v>
      </c>
      <c r="C139" s="8" t="s">
        <v>514</v>
      </c>
      <c r="D139" s="8" t="s">
        <v>515</v>
      </c>
      <c r="E139" s="8" t="s">
        <v>73</v>
      </c>
      <c r="F139" s="8" t="s">
        <v>516</v>
      </c>
      <c r="G139" s="8" t="s">
        <v>15</v>
      </c>
      <c r="H139" s="8" t="s">
        <v>16</v>
      </c>
      <c r="I139" s="23" t="s">
        <v>23</v>
      </c>
      <c r="J139" s="24" t="str">
        <f>_xlfn.XLOOKUP(B139,Sheet!A:A,Sheet!B:B,FALSE,)</f>
        <v>barkley.vanwyngaard@synthesis.co.za</v>
      </c>
      <c r="K139" s="24" t="str">
        <f>_xlfn.XLOOKUP(B139,Sheet!A:A,Sheet!C:C,FALSE,)</f>
        <v>0829794148</v>
      </c>
    </row>
    <row r="140" spans="1:11" hidden="1">
      <c r="A140" s="7">
        <v>45748</v>
      </c>
      <c r="B140" s="21" t="s">
        <v>517</v>
      </c>
      <c r="C140" s="8" t="s">
        <v>518</v>
      </c>
      <c r="D140" s="8" t="s">
        <v>519</v>
      </c>
      <c r="E140" s="8" t="s">
        <v>73</v>
      </c>
      <c r="F140" s="8" t="s">
        <v>520</v>
      </c>
      <c r="G140" s="8" t="s">
        <v>15</v>
      </c>
      <c r="H140" s="8" t="s">
        <v>32</v>
      </c>
      <c r="I140" s="23" t="s">
        <v>39</v>
      </c>
      <c r="J140" s="24" t="str">
        <f>_xlfn.XLOOKUP(B140,Sheet!A:A,Sheet!B:B,FALSE,)</f>
        <v>chanel.barnard@synthesis.co.za</v>
      </c>
      <c r="K140" s="24" t="str">
        <f>_xlfn.XLOOKUP(B140,Sheet!A:A,Sheet!C:C,FALSE,)</f>
        <v>0823951737</v>
      </c>
    </row>
    <row r="141" spans="1:11" hidden="1">
      <c r="A141" s="7">
        <v>45748</v>
      </c>
      <c r="B141" s="21" t="s">
        <v>521</v>
      </c>
      <c r="C141" s="8" t="s">
        <v>522</v>
      </c>
      <c r="D141" s="8" t="s">
        <v>523</v>
      </c>
      <c r="E141" s="8" t="s">
        <v>73</v>
      </c>
      <c r="F141" s="8" t="s">
        <v>520</v>
      </c>
      <c r="G141" s="8" t="s">
        <v>15</v>
      </c>
      <c r="H141" s="8" t="s">
        <v>32</v>
      </c>
      <c r="I141" s="23" t="s">
        <v>51</v>
      </c>
      <c r="J141" s="24" t="str">
        <f>_xlfn.XLOOKUP(B141,Sheet!A:A,Sheet!B:B,FALSE,)</f>
        <v>davril.cohen@synthesis.co.za</v>
      </c>
      <c r="K141" s="24" t="str">
        <f>_xlfn.XLOOKUP(B141,Sheet!A:A,Sheet!C:C,FALSE,)</f>
        <v>0722097970</v>
      </c>
    </row>
    <row r="142" spans="1:11" hidden="1">
      <c r="A142" s="7">
        <v>45748</v>
      </c>
      <c r="B142" s="21" t="s">
        <v>524</v>
      </c>
      <c r="C142" s="8" t="s">
        <v>525</v>
      </c>
      <c r="D142" s="8" t="s">
        <v>526</v>
      </c>
      <c r="E142" s="8" t="s">
        <v>321</v>
      </c>
      <c r="F142" s="8" t="s">
        <v>322</v>
      </c>
      <c r="G142" s="8" t="s">
        <v>84</v>
      </c>
      <c r="H142" s="8" t="s">
        <v>32</v>
      </c>
      <c r="I142" s="23" t="s">
        <v>51</v>
      </c>
      <c r="J142" s="24" t="str">
        <f>_xlfn.XLOOKUP(B142,Sheet!A:A,Sheet!B:B,FALSE,)</f>
        <v>gaylene.scott@synthesis.co.za</v>
      </c>
      <c r="K142" s="24" t="str">
        <f>_xlfn.XLOOKUP(B142,Sheet!A:A,Sheet!C:C,FALSE,)</f>
        <v>0798233070</v>
      </c>
    </row>
    <row r="143" spans="1:11" hidden="1">
      <c r="A143" s="7">
        <v>45748</v>
      </c>
      <c r="B143" s="21" t="s">
        <v>527</v>
      </c>
      <c r="C143" s="8" t="s">
        <v>528</v>
      </c>
      <c r="D143" s="8" t="s">
        <v>529</v>
      </c>
      <c r="E143" s="8" t="s">
        <v>73</v>
      </c>
      <c r="F143" s="8" t="s">
        <v>109</v>
      </c>
      <c r="G143" s="8" t="s">
        <v>15</v>
      </c>
      <c r="H143" s="8" t="s">
        <v>16</v>
      </c>
      <c r="I143" s="23" t="s">
        <v>175</v>
      </c>
      <c r="J143" s="24" t="str">
        <f>_xlfn.XLOOKUP(B143,Sheet!A:A,Sheet!B:B,FALSE,)</f>
        <v>henko.germishuizen@synthesis.co.za</v>
      </c>
      <c r="K143" s="24" t="str">
        <f>_xlfn.XLOOKUP(B143,Sheet!A:A,Sheet!C:C,FALSE,)</f>
        <v>0734587231</v>
      </c>
    </row>
    <row r="144" spans="1:11" hidden="1">
      <c r="A144" s="7">
        <v>45748</v>
      </c>
      <c r="B144" s="21" t="s">
        <v>530</v>
      </c>
      <c r="C144" s="8" t="s">
        <v>531</v>
      </c>
      <c r="D144" s="8" t="s">
        <v>436</v>
      </c>
      <c r="E144" s="8" t="s">
        <v>73</v>
      </c>
      <c r="F144" s="8" t="s">
        <v>532</v>
      </c>
      <c r="G144" s="8" t="s">
        <v>15</v>
      </c>
      <c r="H144" s="8" t="s">
        <v>16</v>
      </c>
      <c r="I144" s="23" t="s">
        <v>23</v>
      </c>
      <c r="J144" s="24" t="str">
        <f>_xlfn.XLOOKUP(B144,Sheet!A:A,Sheet!B:B,FALSE,)</f>
        <v>jannes.kruger@synthesis.co.za</v>
      </c>
      <c r="K144" s="24" t="str">
        <f>_xlfn.XLOOKUP(B144,Sheet!A:A,Sheet!C:C,FALSE,)</f>
        <v>0836542670</v>
      </c>
    </row>
    <row r="145" spans="1:11" hidden="1">
      <c r="A145" s="7">
        <v>45748</v>
      </c>
      <c r="B145" s="21" t="s">
        <v>533</v>
      </c>
      <c r="C145" s="8" t="s">
        <v>534</v>
      </c>
      <c r="D145" s="8" t="s">
        <v>535</v>
      </c>
      <c r="E145" s="8" t="s">
        <v>73</v>
      </c>
      <c r="F145" s="8" t="s">
        <v>109</v>
      </c>
      <c r="G145" s="8" t="s">
        <v>15</v>
      </c>
      <c r="H145" s="8" t="s">
        <v>16</v>
      </c>
      <c r="I145" s="23" t="s">
        <v>175</v>
      </c>
      <c r="J145" s="24" t="str">
        <f>_xlfn.XLOOKUP(B145,Sheet!A:A,Sheet!B:B,FALSE,)</f>
        <v>jay.sale@synthesis.co.za</v>
      </c>
      <c r="K145" s="24" t="str">
        <f>_xlfn.XLOOKUP(B145,Sheet!A:A,Sheet!C:C,FALSE,)</f>
        <v>0609846198</v>
      </c>
    </row>
    <row r="146" spans="1:11">
      <c r="A146" s="7">
        <v>45748</v>
      </c>
      <c r="B146" s="21" t="s">
        <v>536</v>
      </c>
      <c r="C146" s="8" t="s">
        <v>537</v>
      </c>
      <c r="D146" s="8" t="s">
        <v>538</v>
      </c>
      <c r="E146" s="8" t="s">
        <v>113</v>
      </c>
      <c r="F146" s="8" t="s">
        <v>539</v>
      </c>
      <c r="G146" s="8" t="s">
        <v>15</v>
      </c>
      <c r="H146" s="8" t="s">
        <v>16</v>
      </c>
      <c r="I146" s="23" t="s">
        <v>23</v>
      </c>
      <c r="J146" s="24" t="str">
        <f>_xlfn.XLOOKUP(B146,Sheet!A:A,Sheet!B:B,FALSE,)</f>
        <v>marsh.middleton@synthesis.co.za</v>
      </c>
      <c r="K146" s="24" t="str">
        <f>_xlfn.XLOOKUP(B146,Sheet!A:A,Sheet!C:C,FALSE,)</f>
        <v>0823291169</v>
      </c>
    </row>
    <row r="147" spans="1:11" hidden="1">
      <c r="A147" s="7">
        <v>45748</v>
      </c>
      <c r="B147" s="21" t="s">
        <v>540</v>
      </c>
      <c r="C147" s="8" t="s">
        <v>541</v>
      </c>
      <c r="D147" s="8" t="s">
        <v>542</v>
      </c>
      <c r="E147" s="8" t="s">
        <v>55</v>
      </c>
      <c r="F147" s="8" t="s">
        <v>449</v>
      </c>
      <c r="G147" s="8" t="s">
        <v>15</v>
      </c>
      <c r="H147" s="8" t="s">
        <v>16</v>
      </c>
      <c r="I147" s="23" t="s">
        <v>239</v>
      </c>
      <c r="J147" s="24" t="str">
        <f>_xlfn.XLOOKUP(B147,Sheet!A:A,Sheet!B:B,FALSE,)</f>
        <v>sean.aucamp@synthesis.co.za</v>
      </c>
      <c r="K147" s="24" t="str">
        <f>_xlfn.XLOOKUP(B147,Sheet!A:A,Sheet!C:C,FALSE,)</f>
        <v>0844721994</v>
      </c>
    </row>
    <row r="148" spans="1:11" hidden="1">
      <c r="A148" s="7">
        <v>45748</v>
      </c>
      <c r="B148" s="21" t="s">
        <v>543</v>
      </c>
      <c r="C148" s="8" t="s">
        <v>544</v>
      </c>
      <c r="D148" s="8" t="s">
        <v>545</v>
      </c>
      <c r="E148" s="8" t="s">
        <v>73</v>
      </c>
      <c r="F148" s="8" t="s">
        <v>122</v>
      </c>
      <c r="G148" s="8" t="s">
        <v>50</v>
      </c>
      <c r="H148" s="8" t="s">
        <v>16</v>
      </c>
      <c r="I148" s="23" t="s">
        <v>51</v>
      </c>
      <c r="J148" s="24" t="str">
        <f>_xlfn.XLOOKUP(B148,Sheet!A:A,Sheet!B:B,FALSE,)</f>
        <v>vin.mushwana@synthesis.co.za</v>
      </c>
      <c r="K148" s="24" t="str">
        <f>_xlfn.XLOOKUP(B148,Sheet!A:A,Sheet!C:C,FALSE,)</f>
        <v>0619009589</v>
      </c>
    </row>
    <row r="149" spans="1:11" hidden="1">
      <c r="A149" s="7">
        <v>45748</v>
      </c>
      <c r="B149" s="21" t="s">
        <v>546</v>
      </c>
      <c r="C149" s="8" t="s">
        <v>547</v>
      </c>
      <c r="D149" s="8" t="s">
        <v>548</v>
      </c>
      <c r="E149" s="8" t="s">
        <v>73</v>
      </c>
      <c r="F149" s="8" t="s">
        <v>122</v>
      </c>
      <c r="G149" s="8" t="s">
        <v>15</v>
      </c>
      <c r="H149" s="8" t="s">
        <v>16</v>
      </c>
      <c r="I149" s="23" t="s">
        <v>23</v>
      </c>
      <c r="J149" s="24" t="str">
        <f>_xlfn.XLOOKUP(B149,Sheet!A:A,Sheet!B:B,FALSE,)</f>
        <v>wian.nell@synthesis.co.za</v>
      </c>
      <c r="K149" s="24" t="str">
        <f>_xlfn.XLOOKUP(B149,Sheet!A:A,Sheet!C:C,FALSE,)</f>
        <v>0820676887</v>
      </c>
    </row>
    <row r="150" spans="1:11" hidden="1">
      <c r="A150" s="7">
        <v>45748</v>
      </c>
      <c r="B150" s="21" t="s">
        <v>549</v>
      </c>
      <c r="C150" s="8" t="s">
        <v>550</v>
      </c>
      <c r="D150" s="8" t="s">
        <v>551</v>
      </c>
      <c r="E150" s="8" t="s">
        <v>73</v>
      </c>
      <c r="F150" s="8" t="s">
        <v>109</v>
      </c>
      <c r="G150" s="8" t="s">
        <v>15</v>
      </c>
      <c r="H150" s="8" t="s">
        <v>16</v>
      </c>
      <c r="I150" s="23" t="s">
        <v>175</v>
      </c>
      <c r="J150" s="24" t="str">
        <f>_xlfn.XLOOKUP(B150,Sheet!A:A,Sheet!B:B,FALSE,)</f>
        <v>wihan.vanrensburg@synthesis.co.za</v>
      </c>
      <c r="K150" s="24" t="str">
        <f>_xlfn.XLOOKUP(B150,Sheet!A:A,Sheet!C:C,FALSE,)</f>
        <v>0726639685</v>
      </c>
    </row>
    <row r="151" spans="1:11" hidden="1">
      <c r="A151" s="7">
        <v>45817</v>
      </c>
      <c r="B151" s="21" t="s">
        <v>552</v>
      </c>
      <c r="C151" s="8" t="s">
        <v>553</v>
      </c>
      <c r="D151" s="8" t="s">
        <v>554</v>
      </c>
      <c r="E151" s="8" t="s">
        <v>48</v>
      </c>
      <c r="F151" s="8" t="s">
        <v>480</v>
      </c>
      <c r="G151" s="8" t="s">
        <v>15</v>
      </c>
      <c r="H151" s="8" t="s">
        <v>32</v>
      </c>
      <c r="I151" s="23" t="s">
        <v>51</v>
      </c>
      <c r="J151" s="24" t="str">
        <f>_xlfn.XLOOKUP(B151,Sheet!A:A,Sheet!B:B,FALSE,)</f>
        <v>louise@synthesis.co.za</v>
      </c>
      <c r="K151" s="24" t="str">
        <f>_xlfn.XLOOKUP(B151,Sheet!A:A,Sheet!C:C,FALSE,)</f>
        <v>0833726140</v>
      </c>
    </row>
    <row r="152" spans="1:11">
      <c r="A152" s="7">
        <v>45870</v>
      </c>
      <c r="B152" s="21" t="s">
        <v>555</v>
      </c>
      <c r="C152" s="8" t="s">
        <v>556</v>
      </c>
      <c r="D152" s="8" t="s">
        <v>557</v>
      </c>
      <c r="E152" s="8" t="s">
        <v>113</v>
      </c>
      <c r="F152" s="8" t="s">
        <v>114</v>
      </c>
      <c r="G152" s="8" t="s">
        <v>15</v>
      </c>
      <c r="H152" s="8" t="s">
        <v>32</v>
      </c>
      <c r="I152" s="23" t="s">
        <v>39</v>
      </c>
      <c r="J152" s="24" t="str">
        <f>_xlfn.XLOOKUP(B152,Sheet!A:A,Sheet!B:B,FALSE,)</f>
        <v>lesley@synthesis.co.za</v>
      </c>
      <c r="K152" s="24" t="str">
        <f>_xlfn.XLOOKUP(B152,Sheet!A:A,Sheet!C:C,FALSE,)</f>
        <v>0662039189</v>
      </c>
    </row>
    <row r="153" spans="1:11" hidden="1">
      <c r="A153" s="7">
        <v>45880</v>
      </c>
      <c r="B153" s="21" t="s">
        <v>558</v>
      </c>
      <c r="C153" s="8" t="s">
        <v>559</v>
      </c>
      <c r="D153" s="8" t="s">
        <v>560</v>
      </c>
      <c r="E153" s="8" t="s">
        <v>48</v>
      </c>
      <c r="F153" s="8" t="s">
        <v>561</v>
      </c>
      <c r="G153" s="8" t="s">
        <v>84</v>
      </c>
      <c r="H153" s="8" t="s">
        <v>16</v>
      </c>
      <c r="I153" s="23" t="s">
        <v>89</v>
      </c>
      <c r="J153" s="24" t="str">
        <f>_xlfn.XLOOKUP(B153,Sheet!A:A,Sheet!B:B,FALSE,)</f>
        <v>byron@synthesis.co.za</v>
      </c>
      <c r="K153" s="24" t="str">
        <f>_xlfn.XLOOKUP(B153,Sheet!A:A,Sheet!C:C,FALSE,)</f>
        <v>0718944527</v>
      </c>
    </row>
    <row r="154" spans="1:11" hidden="1">
      <c r="A154" s="7">
        <v>45883</v>
      </c>
      <c r="B154" s="21" t="s">
        <v>562</v>
      </c>
      <c r="C154" s="8" t="s">
        <v>509</v>
      </c>
      <c r="D154" s="8" t="s">
        <v>563</v>
      </c>
      <c r="E154" s="8" t="s">
        <v>43</v>
      </c>
      <c r="F154" s="8" t="s">
        <v>564</v>
      </c>
      <c r="G154" s="8" t="s">
        <v>15</v>
      </c>
      <c r="H154" s="8" t="s">
        <v>32</v>
      </c>
      <c r="I154" s="23" t="s">
        <v>239</v>
      </c>
      <c r="J154" s="24" t="str">
        <f>_xlfn.XLOOKUP(B154,Sheet!A:A,Sheet!B:B,FALSE,)</f>
        <v>amym@synthesis.co.za</v>
      </c>
      <c r="K154" s="24" t="str">
        <f>_xlfn.XLOOKUP(B154,Sheet!A:A,Sheet!C:C,FALSE,)</f>
        <v>0720229288</v>
      </c>
    </row>
    <row r="155" spans="1:11" hidden="1">
      <c r="A155" s="7">
        <v>45887</v>
      </c>
      <c r="B155" s="21" t="s">
        <v>565</v>
      </c>
      <c r="C155" s="8" t="s">
        <v>11</v>
      </c>
      <c r="D155" s="8" t="s">
        <v>566</v>
      </c>
      <c r="E155" s="8" t="s">
        <v>55</v>
      </c>
      <c r="F155" s="8" t="s">
        <v>118</v>
      </c>
      <c r="G155" s="8" t="s">
        <v>50</v>
      </c>
      <c r="H155" s="8" t="s">
        <v>16</v>
      </c>
      <c r="I155" s="23" t="s">
        <v>51</v>
      </c>
      <c r="J155" s="24" t="str">
        <f>_xlfn.XLOOKUP(B155,Sheet!A:A,Sheet!B:B,FALSE,)</f>
        <v>michaeln@synthesis.co.za</v>
      </c>
      <c r="K155" s="24" t="str">
        <f>_xlfn.XLOOKUP(B155,Sheet!A:A,Sheet!C:C,FALSE,)</f>
        <v>0788327636</v>
      </c>
    </row>
    <row r="156" spans="1:11" hidden="1">
      <c r="A156" s="7">
        <v>45901</v>
      </c>
      <c r="B156" s="21" t="s">
        <v>567</v>
      </c>
      <c r="C156" s="8" t="s">
        <v>568</v>
      </c>
      <c r="D156" s="8" t="s">
        <v>383</v>
      </c>
      <c r="E156" s="8" t="s">
        <v>93</v>
      </c>
      <c r="F156" s="8" t="s">
        <v>94</v>
      </c>
      <c r="G156" s="8" t="s">
        <v>22</v>
      </c>
      <c r="H156" s="8" t="s">
        <v>16</v>
      </c>
      <c r="I156" s="23" t="s">
        <v>51</v>
      </c>
      <c r="J156" s="24" t="str">
        <f>_xlfn.XLOOKUP(B156,Sheet!A:A,Sheet!B:B,FALSE,)</f>
        <v>amit@synthesis.co.za</v>
      </c>
      <c r="K156" s="24" t="str">
        <f>_xlfn.XLOOKUP(B156,Sheet!A:A,Sheet!C:C,FALSE,)</f>
        <v>0612012779</v>
      </c>
    </row>
    <row r="157" spans="1:11" hidden="1">
      <c r="A157" s="7">
        <v>45901</v>
      </c>
      <c r="B157" s="21" t="s">
        <v>569</v>
      </c>
      <c r="C157" s="8" t="s">
        <v>570</v>
      </c>
      <c r="D157" s="8" t="s">
        <v>571</v>
      </c>
      <c r="E157" s="8" t="s">
        <v>78</v>
      </c>
      <c r="F157" s="8" t="s">
        <v>147</v>
      </c>
      <c r="G157" s="8" t="s">
        <v>22</v>
      </c>
      <c r="H157" s="8" t="s">
        <v>16</v>
      </c>
      <c r="I157" s="23" t="s">
        <v>51</v>
      </c>
      <c r="J157" s="24" t="str">
        <f>_xlfn.XLOOKUP(B157,Sheet!A:A,Sheet!B:B,FALSE,)</f>
        <v>nitesh@synthesis.co.za</v>
      </c>
      <c r="K157" s="24" t="str">
        <f>_xlfn.XLOOKUP(B157,Sheet!A:A,Sheet!C:C,FALSE,)</f>
        <v>0813950460</v>
      </c>
    </row>
    <row r="158" spans="1:11" hidden="1">
      <c r="A158" s="7">
        <v>45915</v>
      </c>
      <c r="B158" s="21" t="s">
        <v>572</v>
      </c>
      <c r="C158" s="8" t="s">
        <v>573</v>
      </c>
      <c r="D158" s="8" t="s">
        <v>574</v>
      </c>
      <c r="E158" s="8" t="s">
        <v>55</v>
      </c>
      <c r="F158" s="8" t="s">
        <v>575</v>
      </c>
      <c r="G158" s="8" t="s">
        <v>15</v>
      </c>
      <c r="H158" s="8" t="s">
        <v>16</v>
      </c>
      <c r="I158" s="23" t="s">
        <v>89</v>
      </c>
      <c r="J158" s="24" t="str">
        <f>_xlfn.XLOOKUP(B158,Sheet!A:A,Sheet!B:B,FALSE,)</f>
        <v>salvatore@synthesis.co.za</v>
      </c>
      <c r="K158" s="24" t="str">
        <f>_xlfn.XLOOKUP(B158,Sheet!A:A,Sheet!C:C,FALSE,)</f>
        <v>0721491732</v>
      </c>
    </row>
    <row r="159" spans="1:11" hidden="1">
      <c r="A159" s="7">
        <v>45951</v>
      </c>
      <c r="B159" s="21" t="s">
        <v>576</v>
      </c>
      <c r="C159" s="8" t="s">
        <v>577</v>
      </c>
      <c r="D159" s="8" t="s">
        <v>578</v>
      </c>
      <c r="E159" s="8" t="s">
        <v>230</v>
      </c>
      <c r="F159" s="8" t="s">
        <v>579</v>
      </c>
      <c r="G159" s="8" t="s">
        <v>22</v>
      </c>
      <c r="H159" s="8" t="s">
        <v>16</v>
      </c>
      <c r="I159" s="23" t="s">
        <v>98</v>
      </c>
      <c r="J159" s="24" t="str">
        <f>_xlfn.XLOOKUP(B159,Sheet!A:A,Sheet!B:B,FALSE,)</f>
        <v>nirens@synthesis.co.za</v>
      </c>
      <c r="K159" s="24" t="str">
        <f>_xlfn.XLOOKUP(B159,Sheet!A:A,Sheet!C:C,FALSE,)</f>
        <v>0813615048</v>
      </c>
    </row>
    <row r="160" spans="1:11" hidden="1">
      <c r="A160" s="7">
        <v>45962</v>
      </c>
      <c r="B160" s="21" t="s">
        <v>580</v>
      </c>
      <c r="C160" s="8" t="s">
        <v>581</v>
      </c>
      <c r="D160" s="8" t="s">
        <v>582</v>
      </c>
      <c r="E160" s="8" t="s">
        <v>43</v>
      </c>
      <c r="F160" s="8" t="s">
        <v>583</v>
      </c>
      <c r="G160" s="8" t="s">
        <v>50</v>
      </c>
      <c r="H160" s="8" t="s">
        <v>16</v>
      </c>
      <c r="I160" s="23" t="s">
        <v>51</v>
      </c>
      <c r="J160" s="24" t="str">
        <f>_xlfn.XLOOKUP(B160,Sheet!A:A,Sheet!B:B,FALSE,)</f>
        <v>Tammy@synthesis.co.za</v>
      </c>
      <c r="K160" s="24" t="str">
        <f>_xlfn.XLOOKUP(B160,Sheet!A:A,Sheet!C:C,FALSE,)</f>
        <v>0721289793</v>
      </c>
    </row>
    <row r="161" spans="1:11">
      <c r="A161" s="7">
        <v>45978</v>
      </c>
      <c r="B161" s="21" t="s">
        <v>584</v>
      </c>
      <c r="C161" s="8" t="s">
        <v>585</v>
      </c>
      <c r="D161" s="8" t="s">
        <v>586</v>
      </c>
      <c r="E161" s="8" t="s">
        <v>113</v>
      </c>
      <c r="F161" s="8" t="s">
        <v>587</v>
      </c>
      <c r="G161" s="8" t="s">
        <v>15</v>
      </c>
      <c r="H161" s="8" t="s">
        <v>16</v>
      </c>
      <c r="I161" s="23" t="s">
        <v>51</v>
      </c>
      <c r="J161" s="24" t="str">
        <f>_xlfn.XLOOKUP(B161,Sheet!A:A,Sheet!B:B,FALSE,)</f>
        <v>werner@synthesis.co.za</v>
      </c>
      <c r="K161" s="24" t="str">
        <f>_xlfn.XLOOKUP(B161,Sheet!A:A,Sheet!C:C,FALSE,)</f>
        <v>0840534257</v>
      </c>
    </row>
    <row r="162" spans="1:11" hidden="1">
      <c r="A162" s="7">
        <v>45978</v>
      </c>
      <c r="B162" s="21" t="s">
        <v>588</v>
      </c>
      <c r="C162" s="8" t="s">
        <v>589</v>
      </c>
      <c r="D162" s="8" t="s">
        <v>590</v>
      </c>
      <c r="E162" s="8" t="s">
        <v>48</v>
      </c>
      <c r="F162" s="8" t="s">
        <v>591</v>
      </c>
      <c r="G162" s="8" t="s">
        <v>50</v>
      </c>
      <c r="H162" s="8" t="s">
        <v>16</v>
      </c>
      <c r="I162" s="23" t="s">
        <v>239</v>
      </c>
      <c r="J162" s="24" t="str">
        <f>_xlfn.XLOOKUP(B162,Sheet!A:A,Sheet!B:B,FALSE,)</f>
        <v>phuti@synthesis.co.za</v>
      </c>
      <c r="K162" s="24" t="str">
        <f>_xlfn.XLOOKUP(B162,Sheet!A:A,Sheet!C:C,FALSE,)</f>
        <v>0765095207</v>
      </c>
    </row>
    <row r="163" spans="1:11">
      <c r="A163" s="7">
        <v>45978</v>
      </c>
      <c r="B163" s="21" t="s">
        <v>592</v>
      </c>
      <c r="C163" s="8" t="s">
        <v>593</v>
      </c>
      <c r="D163" s="8" t="s">
        <v>594</v>
      </c>
      <c r="E163" s="8" t="s">
        <v>113</v>
      </c>
      <c r="F163" s="8" t="s">
        <v>114</v>
      </c>
      <c r="G163" s="8" t="s">
        <v>15</v>
      </c>
      <c r="H163" s="8" t="s">
        <v>32</v>
      </c>
      <c r="I163" s="23" t="s">
        <v>161</v>
      </c>
      <c r="J163" s="24" t="str">
        <f>_xlfn.XLOOKUP(B163,Sheet!A:A,Sheet!B:B,FALSE,)</f>
        <v>vivien@synthesis.co.za</v>
      </c>
      <c r="K163" s="24" t="str">
        <f>_xlfn.XLOOKUP(B163,Sheet!A:A,Sheet!C:C,FALSE,)</f>
        <v>0844045369</v>
      </c>
    </row>
    <row r="164" spans="1:11" hidden="1">
      <c r="A164" s="7">
        <v>45999</v>
      </c>
      <c r="B164" s="21" t="s">
        <v>595</v>
      </c>
      <c r="C164" s="8" t="s">
        <v>596</v>
      </c>
      <c r="D164" s="8" t="s">
        <v>597</v>
      </c>
      <c r="E164" s="8" t="s">
        <v>48</v>
      </c>
      <c r="F164" s="8" t="s">
        <v>591</v>
      </c>
      <c r="G164" s="8" t="s">
        <v>50</v>
      </c>
      <c r="H164" s="8" t="s">
        <v>16</v>
      </c>
      <c r="I164" s="23" t="s">
        <v>239</v>
      </c>
      <c r="J164" s="24" t="str">
        <f>_xlfn.XLOOKUP(B164,Sheet!A:A,Sheet!B:B,FALSE,)</f>
        <v>Lufuno@synthesis.co.za</v>
      </c>
      <c r="K164" s="24" t="str">
        <f>_xlfn.XLOOKUP(B164,Sheet!A:A,Sheet!C:C,FALSE,)</f>
        <v>0658414216</v>
      </c>
    </row>
    <row r="165" spans="1:11" hidden="1">
      <c r="A165" s="7">
        <v>46027</v>
      </c>
      <c r="B165" s="21" t="s">
        <v>598</v>
      </c>
      <c r="C165" s="8" t="s">
        <v>599</v>
      </c>
      <c r="D165" s="8" t="s">
        <v>600</v>
      </c>
      <c r="E165" s="8" t="s">
        <v>60</v>
      </c>
      <c r="F165" s="8" t="s">
        <v>601</v>
      </c>
      <c r="G165" s="8" t="s">
        <v>15</v>
      </c>
      <c r="H165" s="8" t="s">
        <v>16</v>
      </c>
      <c r="I165" s="23" t="s">
        <v>51</v>
      </c>
      <c r="J165" s="24" t="str">
        <f>_xlfn.XLOOKUP(B165,Sheet!A:A,Sheet!B:B,FALSE,)</f>
        <v>harry.myburgh@synthesis.co.za</v>
      </c>
      <c r="K165" s="24" t="str">
        <f>_xlfn.XLOOKUP(B165,Sheet!A:A,Sheet!C:C,FALSE,)</f>
        <v>0796166216</v>
      </c>
    </row>
    <row r="166" spans="1:11" hidden="1">
      <c r="A166" s="7">
        <v>46027</v>
      </c>
      <c r="B166" s="21" t="s">
        <v>602</v>
      </c>
      <c r="C166" s="8" t="s">
        <v>603</v>
      </c>
      <c r="D166" s="8" t="s">
        <v>604</v>
      </c>
      <c r="E166" s="8" t="s">
        <v>43</v>
      </c>
      <c r="F166" s="8" t="s">
        <v>605</v>
      </c>
      <c r="G166" s="8" t="s">
        <v>15</v>
      </c>
      <c r="H166" s="8" t="s">
        <v>16</v>
      </c>
      <c r="I166" s="23" t="s">
        <v>51</v>
      </c>
      <c r="J166" s="24" t="str">
        <f>_xlfn.XLOOKUP(B166,Sheet!A:A,Sheet!B:B,FALSE,)</f>
        <v>devont@synthesis.co.za</v>
      </c>
      <c r="K166" s="24" t="str">
        <f>_xlfn.XLOOKUP(B166,Sheet!A:A,Sheet!C:C,FALSE,)</f>
        <v>0717179077</v>
      </c>
    </row>
    <row r="167" spans="1:11" hidden="1">
      <c r="A167" s="7">
        <v>46027</v>
      </c>
      <c r="B167" s="21" t="s">
        <v>606</v>
      </c>
      <c r="C167" s="8" t="s">
        <v>607</v>
      </c>
      <c r="D167" s="8" t="s">
        <v>608</v>
      </c>
      <c r="E167" s="8" t="s">
        <v>48</v>
      </c>
      <c r="F167" s="8" t="s">
        <v>591</v>
      </c>
      <c r="G167" s="8" t="s">
        <v>50</v>
      </c>
      <c r="H167" s="8" t="s">
        <v>16</v>
      </c>
      <c r="I167" s="23" t="s">
        <v>239</v>
      </c>
      <c r="J167" s="24" t="str">
        <f>_xlfn.XLOOKUP(B167,Sheet!A:A,Sheet!B:B,FALSE,)</f>
        <v>Mbongeni@synthesis.co.za</v>
      </c>
      <c r="K167" s="24" t="str">
        <f>_xlfn.XLOOKUP(B167,Sheet!A:A,Sheet!C:C,FALSE,)</f>
        <v>0685970229</v>
      </c>
    </row>
    <row r="168" spans="1:11" hidden="1">
      <c r="A168" s="7">
        <v>46055</v>
      </c>
      <c r="B168" s="21" t="s">
        <v>609</v>
      </c>
      <c r="C168" s="8" t="s">
        <v>610</v>
      </c>
      <c r="D168" s="8" t="s">
        <v>611</v>
      </c>
      <c r="E168" s="8" t="s">
        <v>60</v>
      </c>
      <c r="F168" s="8" t="s">
        <v>612</v>
      </c>
      <c r="G168" s="8" t="s">
        <v>15</v>
      </c>
      <c r="H168" s="8" t="s">
        <v>16</v>
      </c>
      <c r="I168" s="23" t="s">
        <v>51</v>
      </c>
      <c r="J168" s="24" t="str">
        <f>_xlfn.XLOOKUP(B168,Sheet!A:A,Sheet!B:B,FALSE,)</f>
        <v>devin@synthesis.co.za</v>
      </c>
      <c r="K168" s="24" t="str">
        <f>_xlfn.XLOOKUP(B168,Sheet!A:A,Sheet!C:C,FALSE,)</f>
        <v>0832331386</v>
      </c>
    </row>
    <row r="169" spans="1:11" hidden="1">
      <c r="A169" s="7">
        <v>46034</v>
      </c>
      <c r="B169" s="21" t="s">
        <v>613</v>
      </c>
      <c r="C169" s="8" t="s">
        <v>614</v>
      </c>
      <c r="D169" s="8" t="s">
        <v>615</v>
      </c>
      <c r="E169" s="8" t="s">
        <v>78</v>
      </c>
      <c r="F169" s="8" t="s">
        <v>147</v>
      </c>
      <c r="G169" s="8" t="s">
        <v>15</v>
      </c>
      <c r="H169" s="8" t="s">
        <v>16</v>
      </c>
      <c r="I169" s="23" t="s">
        <v>51</v>
      </c>
      <c r="J169" s="24" t="str">
        <f>_xlfn.XLOOKUP(B169,Sheet!A:A,Sheet!B:B,FALSE,)</f>
        <v>louisvdw@synthesis.co.za</v>
      </c>
      <c r="K169" s="24" t="str">
        <f>_xlfn.XLOOKUP(B169,Sheet!A:A,Sheet!C:C,FALSE,)</f>
        <v>0788031578</v>
      </c>
    </row>
    <row r="170" spans="1:11" hidden="1">
      <c r="A170" s="7">
        <v>46083</v>
      </c>
      <c r="B170" s="21" t="s">
        <v>616</v>
      </c>
      <c r="C170" s="8" t="s">
        <v>617</v>
      </c>
      <c r="D170" s="8" t="s">
        <v>618</v>
      </c>
      <c r="E170" s="8" t="s">
        <v>60</v>
      </c>
      <c r="F170" s="8" t="s">
        <v>601</v>
      </c>
      <c r="G170" s="8" t="s">
        <v>15</v>
      </c>
      <c r="H170" s="8" t="s">
        <v>16</v>
      </c>
      <c r="I170" s="23" t="s">
        <v>51</v>
      </c>
      <c r="J170" s="24" t="str">
        <f>_xlfn.XLOOKUP(B170,Sheet!A:A,Sheet!B:B,FALSE,)</f>
        <v>donovan@synthesis.co.za</v>
      </c>
      <c r="K170" s="24" t="str">
        <f>_xlfn.XLOOKUP(B170,Sheet!A:A,Sheet!C:C,FALSE,)</f>
        <v>0765100576</v>
      </c>
    </row>
    <row r="171" spans="1:11" hidden="1">
      <c r="A171" s="7">
        <v>46062</v>
      </c>
      <c r="B171" s="21" t="s">
        <v>619</v>
      </c>
      <c r="C171" s="8" t="s">
        <v>620</v>
      </c>
      <c r="D171" s="8" t="s">
        <v>621</v>
      </c>
      <c r="E171" s="8" t="s">
        <v>37</v>
      </c>
      <c r="F171" s="8" t="s">
        <v>622</v>
      </c>
      <c r="G171" s="8" t="s">
        <v>15</v>
      </c>
      <c r="H171" s="8" t="s">
        <v>16</v>
      </c>
      <c r="I171" s="23" t="s">
        <v>161</v>
      </c>
      <c r="J171" s="24" t="str">
        <f>_xlfn.XLOOKUP(B171,Sheet!A:A,Sheet!B:B,FALSE,)</f>
        <v>brendan@synthesis.co.za</v>
      </c>
      <c r="K171" s="24" t="str">
        <f>_xlfn.XLOOKUP(B171,Sheet!A:A,Sheet!C:C,FALSE,)</f>
        <v>0840822217</v>
      </c>
    </row>
    <row r="172" spans="1:11" hidden="1">
      <c r="A172" s="7">
        <v>46082</v>
      </c>
      <c r="B172" s="21" t="s">
        <v>623</v>
      </c>
      <c r="C172" s="8" t="s">
        <v>624</v>
      </c>
      <c r="D172" s="8" t="s">
        <v>625</v>
      </c>
      <c r="E172" s="8" t="s">
        <v>60</v>
      </c>
      <c r="F172" s="8" t="s">
        <v>601</v>
      </c>
      <c r="G172" s="8" t="s">
        <v>15</v>
      </c>
      <c r="H172" s="8" t="s">
        <v>16</v>
      </c>
      <c r="I172" s="23" t="s">
        <v>51</v>
      </c>
      <c r="J172" s="24" t="str">
        <f>_xlfn.XLOOKUP(B172,Sheet!A:A,Sheet!B:B,FALSE,)</f>
        <v>ian@synthesis.co.za</v>
      </c>
      <c r="K172" s="24" t="str">
        <f>_xlfn.XLOOKUP(B172,Sheet!A:A,Sheet!C:C,FALSE,)</f>
        <v>0722137775</v>
      </c>
    </row>
    <row r="173" spans="1:11" hidden="1">
      <c r="A173" s="7">
        <v>46090</v>
      </c>
      <c r="B173" s="21" t="s">
        <v>626</v>
      </c>
      <c r="C173" s="8" t="s">
        <v>627</v>
      </c>
      <c r="D173" s="8" t="s">
        <v>628</v>
      </c>
      <c r="E173" s="8" t="s">
        <v>48</v>
      </c>
      <c r="F173" s="8" t="s">
        <v>591</v>
      </c>
      <c r="G173" s="8" t="s">
        <v>50</v>
      </c>
      <c r="H173" s="8" t="s">
        <v>16</v>
      </c>
      <c r="I173" s="23" t="s">
        <v>239</v>
      </c>
      <c r="J173" s="24" t="str">
        <f>_xlfn.XLOOKUP(B173,Sheet!A:A,Sheet!B:B,FALSE,)</f>
        <v>phumudzo@synthesis.co.za</v>
      </c>
      <c r="K173" s="24" t="str">
        <f>_xlfn.XLOOKUP(B173,Sheet!A:A,Sheet!C:C,FALSE,)</f>
        <v>0715798007</v>
      </c>
    </row>
    <row r="174" spans="1:11" hidden="1">
      <c r="A174" s="7">
        <v>46120</v>
      </c>
      <c r="B174" s="21" t="s">
        <v>629</v>
      </c>
      <c r="C174" s="8" t="s">
        <v>441</v>
      </c>
      <c r="D174" s="8" t="s">
        <v>630</v>
      </c>
      <c r="E174" s="8" t="s">
        <v>48</v>
      </c>
      <c r="F174" s="8" t="s">
        <v>480</v>
      </c>
      <c r="G174" s="8" t="s">
        <v>50</v>
      </c>
      <c r="H174" s="8" t="s">
        <v>16</v>
      </c>
      <c r="I174" s="23" t="s">
        <v>39</v>
      </c>
      <c r="J174" s="24" t="str">
        <f>_xlfn.XLOOKUP(B174,Sheet!A:A,Sheet!B:B,FALSE,)</f>
        <v>njabulom@synthesis.co.za</v>
      </c>
      <c r="K174" s="24" t="str">
        <f>_xlfn.XLOOKUP(B174,Sheet!A:A,Sheet!C:C,FALSE,)</f>
        <v>0617419682</v>
      </c>
    </row>
    <row r="175" spans="1:11" hidden="1">
      <c r="A175" s="7">
        <v>46113</v>
      </c>
      <c r="B175" s="21" t="s">
        <v>631</v>
      </c>
      <c r="C175" s="8" t="s">
        <v>632</v>
      </c>
      <c r="D175" s="8" t="s">
        <v>633</v>
      </c>
      <c r="E175" s="8" t="s">
        <v>73</v>
      </c>
      <c r="F175" s="8" t="s">
        <v>634</v>
      </c>
      <c r="G175" s="8" t="s">
        <v>15</v>
      </c>
      <c r="H175" s="8" t="s">
        <v>16</v>
      </c>
      <c r="I175" s="23" t="s">
        <v>51</v>
      </c>
      <c r="J175" s="24"/>
      <c r="K175" s="24"/>
    </row>
    <row r="176" spans="1:11" hidden="1">
      <c r="A176" s="7">
        <v>46113</v>
      </c>
      <c r="B176" s="21" t="s">
        <v>635</v>
      </c>
      <c r="C176" s="8" t="s">
        <v>636</v>
      </c>
      <c r="D176" s="8" t="s">
        <v>135</v>
      </c>
      <c r="E176" s="8" t="s">
        <v>73</v>
      </c>
      <c r="F176" s="8" t="s">
        <v>637</v>
      </c>
      <c r="G176" s="8" t="s">
        <v>15</v>
      </c>
      <c r="H176" s="8" t="s">
        <v>32</v>
      </c>
      <c r="I176" s="23" t="s">
        <v>51</v>
      </c>
      <c r="J176" s="24"/>
      <c r="K176" s="24"/>
    </row>
    <row r="177" spans="1:11" hidden="1">
      <c r="A177" s="7">
        <v>46113</v>
      </c>
      <c r="B177" s="21" t="s">
        <v>638</v>
      </c>
      <c r="C177" s="8" t="s">
        <v>639</v>
      </c>
      <c r="D177" s="8" t="s">
        <v>640</v>
      </c>
      <c r="E177" s="8" t="s">
        <v>30</v>
      </c>
      <c r="F177" s="8" t="s">
        <v>641</v>
      </c>
      <c r="G177" s="8" t="s">
        <v>15</v>
      </c>
      <c r="H177" s="8" t="s">
        <v>32</v>
      </c>
      <c r="I177" s="23" t="s">
        <v>51</v>
      </c>
      <c r="J177" s="24"/>
      <c r="K177" s="24"/>
    </row>
    <row r="178" spans="1:11" hidden="1">
      <c r="A178" s="7">
        <v>46113</v>
      </c>
      <c r="B178" s="21" t="s">
        <v>642</v>
      </c>
      <c r="C178" s="8" t="s">
        <v>643</v>
      </c>
      <c r="D178" s="8" t="s">
        <v>644</v>
      </c>
      <c r="E178" s="8" t="s">
        <v>73</v>
      </c>
      <c r="F178" s="8" t="s">
        <v>645</v>
      </c>
      <c r="G178" s="8" t="s">
        <v>15</v>
      </c>
      <c r="H178" s="8" t="s">
        <v>32</v>
      </c>
      <c r="I178" s="23" t="s">
        <v>39</v>
      </c>
      <c r="J178" s="24"/>
      <c r="K178" s="24"/>
    </row>
    <row r="179" spans="1:11" hidden="1">
      <c r="A179" s="7">
        <v>46113</v>
      </c>
      <c r="B179" s="21" t="s">
        <v>646</v>
      </c>
      <c r="C179" s="8" t="s">
        <v>224</v>
      </c>
      <c r="D179" s="8" t="s">
        <v>647</v>
      </c>
      <c r="E179" s="8" t="s">
        <v>73</v>
      </c>
      <c r="F179" s="8" t="s">
        <v>648</v>
      </c>
      <c r="G179" s="8" t="s">
        <v>15</v>
      </c>
      <c r="H179" s="8" t="s">
        <v>16</v>
      </c>
      <c r="I179" s="23" t="s">
        <v>39</v>
      </c>
      <c r="J179" s="24"/>
      <c r="K179" s="24"/>
    </row>
    <row r="180" spans="1:11" hidden="1">
      <c r="A180" s="7">
        <v>46140</v>
      </c>
      <c r="B180" s="21" t="s">
        <v>649</v>
      </c>
      <c r="C180" s="8" t="s">
        <v>650</v>
      </c>
      <c r="D180" s="8" t="s">
        <v>651</v>
      </c>
      <c r="E180" s="8" t="s">
        <v>48</v>
      </c>
      <c r="F180" s="8" t="s">
        <v>591</v>
      </c>
      <c r="G180" s="8" t="s">
        <v>50</v>
      </c>
      <c r="H180" s="8" t="s">
        <v>16</v>
      </c>
      <c r="I180" s="23" t="s">
        <v>652</v>
      </c>
      <c r="J180" s="24" t="str">
        <f>_xlfn.XLOOKUP(B180,Sheet!A:A,Sheet!B:B,FALSE,)</f>
        <v>randy@synthesis.co.za</v>
      </c>
      <c r="K180" s="24" t="str">
        <f>_xlfn.XLOOKUP(B180,Sheet!A:A,Sheet!C:C,FALSE,)</f>
        <v>0603089993</v>
      </c>
    </row>
    <row r="181" spans="1:11" hidden="1">
      <c r="A181" s="7">
        <v>46143</v>
      </c>
      <c r="B181" s="21" t="s">
        <v>653</v>
      </c>
      <c r="C181" s="8" t="s">
        <v>654</v>
      </c>
      <c r="D181" s="8" t="s">
        <v>655</v>
      </c>
      <c r="E181" s="8" t="s">
        <v>73</v>
      </c>
      <c r="F181" s="8" t="s">
        <v>109</v>
      </c>
      <c r="G181" s="8" t="s">
        <v>15</v>
      </c>
      <c r="H181" s="8" t="s">
        <v>16</v>
      </c>
      <c r="I181" s="23" t="s">
        <v>161</v>
      </c>
      <c r="J181" s="24" t="str">
        <f>_xlfn.XLOOKUP(B181,Sheet!A:A,Sheet!B:B,FALSE,)</f>
        <v>neldan@synthesis.co.za</v>
      </c>
      <c r="K181" s="24" t="str">
        <f>_xlfn.XLOOKUP(B181,Sheet!A:A,Sheet!C:C,FALSE,)</f>
        <v>0636877973</v>
      </c>
    </row>
    <row r="182" spans="1:11" hidden="1">
      <c r="A182" s="7">
        <v>46143</v>
      </c>
      <c r="B182" s="21" t="s">
        <v>656</v>
      </c>
      <c r="C182" s="8" t="s">
        <v>657</v>
      </c>
      <c r="D182" s="8" t="s">
        <v>658</v>
      </c>
      <c r="E182" s="8" t="s">
        <v>20</v>
      </c>
      <c r="F182" s="8" t="s">
        <v>659</v>
      </c>
      <c r="G182" s="8" t="s">
        <v>50</v>
      </c>
      <c r="H182" s="8" t="s">
        <v>16</v>
      </c>
      <c r="I182" s="23" t="s">
        <v>51</v>
      </c>
      <c r="J182" s="24" t="str">
        <f>_xlfn.XLOOKUP(B182,Sheet!A:A,Sheet!B:B,FALSE,)</f>
        <v>reagan@synthesis.co.za</v>
      </c>
      <c r="K182" s="24" t="str">
        <f>_xlfn.XLOOKUP(B182,Sheet!A:A,Sheet!C:C,FALSE,)</f>
        <v>0789832125</v>
      </c>
    </row>
    <row r="183" spans="1:11" hidden="1">
      <c r="A183" s="7">
        <v>44445</v>
      </c>
      <c r="B183" s="21" t="s">
        <v>660</v>
      </c>
      <c r="C183" s="8" t="s">
        <v>661</v>
      </c>
      <c r="D183" s="8" t="s">
        <v>662</v>
      </c>
      <c r="E183" s="8" t="s">
        <v>78</v>
      </c>
      <c r="F183" s="8" t="s">
        <v>663</v>
      </c>
      <c r="G183" s="8" t="s">
        <v>15</v>
      </c>
      <c r="H183" s="8" t="s">
        <v>32</v>
      </c>
      <c r="I183" s="23" t="s">
        <v>89</v>
      </c>
      <c r="J183" s="24" t="str">
        <f>_xlfn.XLOOKUP(B183,Sheet!A:A,Sheet!B:B,FALSE,)</f>
        <v>tayla@synthesis.co.za</v>
      </c>
      <c r="K183" s="24" t="str">
        <f>_xlfn.XLOOKUP(B183,Sheet!A:A,Sheet!C:C,FALSE,)</f>
        <v>0844322249</v>
      </c>
    </row>
    <row r="184" spans="1:11" hidden="1">
      <c r="A184" s="7">
        <v>41106</v>
      </c>
      <c r="B184" s="21" t="s">
        <v>664</v>
      </c>
      <c r="C184" s="8" t="s">
        <v>665</v>
      </c>
      <c r="D184" s="8" t="s">
        <v>666</v>
      </c>
      <c r="E184" s="8" t="s">
        <v>13</v>
      </c>
      <c r="F184" s="8" t="s">
        <v>667</v>
      </c>
      <c r="G184" s="8" t="s">
        <v>15</v>
      </c>
      <c r="H184" s="8" t="s">
        <v>16</v>
      </c>
      <c r="I184" s="23" t="s">
        <v>98</v>
      </c>
      <c r="J184" s="24" t="str">
        <f>_xlfn.XLOOKUP(B184,Sheet!A:A,Sheet!B:B,FALSE,)</f>
        <v>tjaard@synthesis.co.za</v>
      </c>
      <c r="K184" s="24" t="str">
        <f>_xlfn.XLOOKUP(B184,Sheet!A:A,Sheet!C:C,FALSE,)</f>
        <v>0827698551</v>
      </c>
    </row>
    <row r="185" spans="1:11" hidden="1">
      <c r="A185" s="7">
        <v>43739</v>
      </c>
      <c r="B185" s="21" t="s">
        <v>668</v>
      </c>
      <c r="C185" s="8" t="s">
        <v>669</v>
      </c>
      <c r="D185" s="8" t="s">
        <v>670</v>
      </c>
      <c r="E185" s="8" t="s">
        <v>20</v>
      </c>
      <c r="F185" s="8" t="s">
        <v>156</v>
      </c>
      <c r="G185" s="8" t="s">
        <v>15</v>
      </c>
      <c r="H185" s="8" t="s">
        <v>16</v>
      </c>
      <c r="I185" s="23" t="s">
        <v>39</v>
      </c>
      <c r="J185" s="24" t="str">
        <f>_xlfn.XLOOKUP(B185,Sheet!A:A,Sheet!B:B,FALSE,)</f>
        <v>tristan@synthesis.co.za</v>
      </c>
      <c r="K185" s="24" t="str">
        <f>_xlfn.XLOOKUP(B185,Sheet!A:A,Sheet!C:C,FALSE,)</f>
        <v>0608146381</v>
      </c>
    </row>
    <row r="186" spans="1:11" hidden="1">
      <c r="A186" s="7">
        <v>44896</v>
      </c>
      <c r="B186" s="21" t="s">
        <v>671</v>
      </c>
      <c r="C186" s="8" t="s">
        <v>672</v>
      </c>
      <c r="D186" s="8" t="s">
        <v>673</v>
      </c>
      <c r="E186" s="8" t="s">
        <v>48</v>
      </c>
      <c r="F186" s="8" t="s">
        <v>674</v>
      </c>
      <c r="G186" s="8" t="s">
        <v>50</v>
      </c>
      <c r="H186" s="8" t="s">
        <v>16</v>
      </c>
      <c r="I186" s="23" t="s">
        <v>39</v>
      </c>
      <c r="J186" s="24" t="str">
        <f>_xlfn.XLOOKUP(B186,Sheet!A:A,Sheet!B:B,FALSE,)</f>
        <v>thulani@synthesis.co.za</v>
      </c>
      <c r="K186" s="24" t="str">
        <f>_xlfn.XLOOKUP(B186,Sheet!A:A,Sheet!C:C,FALSE,)</f>
        <v>0738822929</v>
      </c>
    </row>
    <row r="187" spans="1:11" hidden="1">
      <c r="A187" s="7">
        <v>45689</v>
      </c>
      <c r="B187" s="21" t="s">
        <v>675</v>
      </c>
      <c r="C187" s="8" t="s">
        <v>676</v>
      </c>
      <c r="D187" s="8" t="s">
        <v>677</v>
      </c>
      <c r="E187" s="8" t="s">
        <v>20</v>
      </c>
      <c r="F187" s="8" t="s">
        <v>678</v>
      </c>
      <c r="G187" s="8" t="s">
        <v>50</v>
      </c>
      <c r="H187" s="8" t="s">
        <v>16</v>
      </c>
      <c r="I187" s="23" t="s">
        <v>33</v>
      </c>
      <c r="J187" s="24" t="str">
        <f>_xlfn.XLOOKUP(B187,Sheet!A:A,Sheet!B:B,FALSE,)</f>
        <v>tendaim@synthesis.co.za</v>
      </c>
      <c r="K187" s="24" t="str">
        <f>_xlfn.XLOOKUP(B187,Sheet!A:A,Sheet!C:C,FALSE,)</f>
        <v>0621498781</v>
      </c>
    </row>
    <row r="188" spans="1:11" hidden="1">
      <c r="A188" s="7">
        <v>44788</v>
      </c>
      <c r="B188" s="21" t="s">
        <v>679</v>
      </c>
      <c r="C188" s="8" t="s">
        <v>680</v>
      </c>
      <c r="D188" s="8" t="s">
        <v>681</v>
      </c>
      <c r="E188" s="8" t="s">
        <v>20</v>
      </c>
      <c r="F188" s="8" t="s">
        <v>682</v>
      </c>
      <c r="G188" s="8" t="s">
        <v>50</v>
      </c>
      <c r="H188" s="8" t="s">
        <v>16</v>
      </c>
      <c r="I188" s="23" t="s">
        <v>33</v>
      </c>
      <c r="J188" s="24" t="str">
        <f>_xlfn.XLOOKUP(B188,Sheet!A:A,Sheet!B:B,FALSE,)</f>
        <v>taona@synthesis.co.za</v>
      </c>
      <c r="K188" s="24" t="str">
        <f>_xlfn.XLOOKUP(B188,Sheet!A:A,Sheet!C:C,FALSE,)</f>
        <v>0734723285</v>
      </c>
    </row>
    <row r="189" spans="1:11" hidden="1">
      <c r="A189" s="7">
        <v>44866</v>
      </c>
      <c r="B189" s="21" t="s">
        <v>683</v>
      </c>
      <c r="C189" s="8" t="s">
        <v>684</v>
      </c>
      <c r="D189" s="8" t="s">
        <v>685</v>
      </c>
      <c r="E189" s="8" t="s">
        <v>55</v>
      </c>
      <c r="F189" s="8" t="s">
        <v>686</v>
      </c>
      <c r="G189" s="8" t="s">
        <v>50</v>
      </c>
      <c r="H189" s="8" t="s">
        <v>16</v>
      </c>
      <c r="I189" s="23" t="s">
        <v>39</v>
      </c>
      <c r="J189" s="24" t="str">
        <f>_xlfn.XLOOKUP(B189,Sheet!A:A,Sheet!B:B,FALSE,)</f>
        <v>thamsanqa@synthesis.co.za</v>
      </c>
      <c r="K189" s="24" t="str">
        <f>_xlfn.XLOOKUP(B189,Sheet!A:A,Sheet!C:C,FALSE,)</f>
        <v>0769027383</v>
      </c>
    </row>
    <row r="190" spans="1:11" hidden="1">
      <c r="A190" s="7">
        <v>44896</v>
      </c>
      <c r="B190" s="21" t="s">
        <v>687</v>
      </c>
      <c r="C190" s="8" t="s">
        <v>688</v>
      </c>
      <c r="D190" s="8" t="s">
        <v>689</v>
      </c>
      <c r="E190" s="8" t="s">
        <v>55</v>
      </c>
      <c r="F190" s="8" t="s">
        <v>262</v>
      </c>
      <c r="G190" s="8" t="s">
        <v>50</v>
      </c>
      <c r="H190" s="8" t="s">
        <v>16</v>
      </c>
      <c r="I190" s="23" t="s">
        <v>39</v>
      </c>
      <c r="J190" s="24" t="str">
        <f>_xlfn.XLOOKUP(B190,Sheet!A:A,Sheet!B:B,FALSE,)</f>
        <v>tamelani@synthesis.co.za</v>
      </c>
      <c r="K190" s="24" t="str">
        <f>_xlfn.XLOOKUP(B190,Sheet!A:A,Sheet!C:C,FALSE,)</f>
        <v>0762266121</v>
      </c>
    </row>
    <row r="191" spans="1:11" hidden="1">
      <c r="A191" s="7">
        <v>44652</v>
      </c>
      <c r="B191" s="21" t="s">
        <v>690</v>
      </c>
      <c r="C191" s="8" t="s">
        <v>691</v>
      </c>
      <c r="D191" s="8" t="s">
        <v>692</v>
      </c>
      <c r="E191" s="8" t="s">
        <v>73</v>
      </c>
      <c r="F191" s="8" t="s">
        <v>156</v>
      </c>
      <c r="G191" s="8" t="s">
        <v>15</v>
      </c>
      <c r="H191" s="8" t="s">
        <v>16</v>
      </c>
      <c r="I191" s="23" t="s">
        <v>39</v>
      </c>
      <c r="J191" s="24" t="str">
        <f>_xlfn.XLOOKUP(B191,Sheet!A:A,Sheet!B:B,FALSE,)</f>
        <v>william@synthesis.co.za</v>
      </c>
      <c r="K191" s="24" t="str">
        <f>_xlfn.XLOOKUP(B191,Sheet!A:A,Sheet!C:C,FALSE,)</f>
        <v>0743849225</v>
      </c>
    </row>
    <row r="192" spans="1:11" hidden="1">
      <c r="A192" s="7">
        <v>44197</v>
      </c>
      <c r="B192" s="21" t="s">
        <v>693</v>
      </c>
      <c r="C192" s="8" t="s">
        <v>694</v>
      </c>
      <c r="D192" s="8" t="s">
        <v>695</v>
      </c>
      <c r="E192" s="8" t="s">
        <v>55</v>
      </c>
      <c r="F192" s="8" t="s">
        <v>696</v>
      </c>
      <c r="G192" s="8" t="s">
        <v>22</v>
      </c>
      <c r="H192" s="8" t="s">
        <v>16</v>
      </c>
      <c r="I192" s="23" t="s">
        <v>51</v>
      </c>
      <c r="J192" s="24" t="str">
        <f>_xlfn.XLOOKUP(B192,Sheet!A:A,Sheet!B:B,FALSE,)</f>
        <v>yasheen@synthesis.co.za</v>
      </c>
      <c r="K192" s="24" t="str">
        <f>_xlfn.XLOOKUP(B192,Sheet!A:A,Sheet!C:C,FALSE,)</f>
        <v>0662044914</v>
      </c>
    </row>
    <row r="193" spans="1:11">
      <c r="A193" s="7">
        <v>44684</v>
      </c>
      <c r="B193" s="21" t="s">
        <v>697</v>
      </c>
      <c r="C193" s="8" t="s">
        <v>698</v>
      </c>
      <c r="D193" s="8" t="s">
        <v>699</v>
      </c>
      <c r="E193" s="8" t="s">
        <v>113</v>
      </c>
      <c r="F193" s="8" t="s">
        <v>114</v>
      </c>
      <c r="G193" s="8" t="s">
        <v>15</v>
      </c>
      <c r="H193" s="8" t="s">
        <v>32</v>
      </c>
      <c r="I193" s="23" t="s">
        <v>39</v>
      </c>
      <c r="J193" s="24" t="str">
        <f>_xlfn.XLOOKUP(B193,Sheet!A:A,Sheet!B:B,FALSE,)</f>
        <v>yolande@synthesis.co.za</v>
      </c>
      <c r="K193" s="24" t="str">
        <f>_xlfn.XLOOKUP(B193,Sheet!A:A,Sheet!C:C,FALSE,)</f>
        <v>0798113331</v>
      </c>
    </row>
  </sheetData>
  <autoFilter ref="A1:K193" xr:uid="{68F57B0D-47BF-4941-8D3F-2FD5227F097E}">
    <filterColumn colId="4">
      <filters>
        <filter val="003 - Sale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91"/>
  <sheetViews>
    <sheetView showGridLines="0" topLeftCell="A3" workbookViewId="0">
      <selection activeCell="J12" sqref="J12"/>
    </sheetView>
  </sheetViews>
  <sheetFormatPr defaultColWidth="11.42578125" defaultRowHeight="15"/>
  <cols>
    <col min="1" max="1" width="9.85546875" style="16" customWidth="1"/>
    <col min="2" max="2" width="13.7109375" style="17" bestFit="1" customWidth="1"/>
    <col min="3" max="3" width="13.42578125" style="11" customWidth="1"/>
    <col min="4" max="4" width="4.42578125" customWidth="1"/>
    <col min="5" max="5" width="2.7109375" customWidth="1"/>
    <col min="6" max="6" width="20.28515625" customWidth="1"/>
  </cols>
  <sheetData>
    <row r="1" spans="1:7" ht="18" customHeight="1"/>
    <row r="2" spans="1:7" ht="10.5" customHeight="1">
      <c r="C2" s="14"/>
      <c r="D2" s="1"/>
      <c r="E2" s="1"/>
      <c r="F2" s="1"/>
    </row>
    <row r="3" spans="1:7" ht="18.75" customHeight="1">
      <c r="A3" s="22" t="s">
        <v>1</v>
      </c>
      <c r="B3" s="18" t="s">
        <v>9</v>
      </c>
      <c r="C3" s="12" t="s">
        <v>10</v>
      </c>
    </row>
    <row r="4" spans="1:7" ht="33.75" customHeight="1">
      <c r="A4" s="2">
        <v>10005</v>
      </c>
      <c r="B4" s="13" t="s">
        <v>700</v>
      </c>
      <c r="C4" s="13" t="s">
        <v>701</v>
      </c>
      <c r="G4" s="16"/>
    </row>
    <row r="5" spans="1:7" ht="34.5" customHeight="1">
      <c r="A5" s="3">
        <v>10006</v>
      </c>
      <c r="B5" s="13" t="s">
        <v>702</v>
      </c>
      <c r="C5" s="13" t="s">
        <v>703</v>
      </c>
    </row>
    <row r="6" spans="1:7" ht="34.5" customHeight="1">
      <c r="A6" s="2">
        <v>10009</v>
      </c>
      <c r="B6" s="13" t="s">
        <v>704</v>
      </c>
      <c r="C6" s="13" t="s">
        <v>705</v>
      </c>
    </row>
    <row r="7" spans="1:7" ht="34.5" customHeight="1">
      <c r="A7" s="3" t="s">
        <v>57</v>
      </c>
      <c r="B7" s="13" t="s">
        <v>706</v>
      </c>
      <c r="C7" s="13" t="s">
        <v>707</v>
      </c>
    </row>
    <row r="8" spans="1:7" ht="34.5" customHeight="1">
      <c r="A8" s="2" t="s">
        <v>66</v>
      </c>
      <c r="B8" s="13" t="s">
        <v>708</v>
      </c>
      <c r="C8" s="13" t="s">
        <v>709</v>
      </c>
    </row>
    <row r="9" spans="1:7" ht="34.5" customHeight="1">
      <c r="A9" s="3" t="s">
        <v>95</v>
      </c>
      <c r="B9" s="13" t="s">
        <v>710</v>
      </c>
      <c r="C9" s="13" t="s">
        <v>711</v>
      </c>
    </row>
    <row r="10" spans="1:7" ht="34.5" customHeight="1">
      <c r="A10" s="2" t="s">
        <v>107</v>
      </c>
      <c r="B10" s="13" t="s">
        <v>712</v>
      </c>
      <c r="C10" s="13" t="s">
        <v>713</v>
      </c>
    </row>
    <row r="11" spans="1:7" ht="34.5" customHeight="1">
      <c r="A11" s="3" t="s">
        <v>110</v>
      </c>
      <c r="B11" s="13" t="s">
        <v>714</v>
      </c>
      <c r="C11" s="13" t="s">
        <v>715</v>
      </c>
    </row>
    <row r="12" spans="1:7" ht="34.5" customHeight="1">
      <c r="A12" s="2" t="s">
        <v>115</v>
      </c>
      <c r="B12" s="13" t="s">
        <v>716</v>
      </c>
      <c r="C12" s="13" t="s">
        <v>717</v>
      </c>
    </row>
    <row r="13" spans="1:7" ht="34.5" customHeight="1">
      <c r="A13" s="3" t="s">
        <v>123</v>
      </c>
      <c r="B13" s="13" t="s">
        <v>718</v>
      </c>
      <c r="C13" s="13" t="s">
        <v>719</v>
      </c>
    </row>
    <row r="14" spans="1:7" ht="34.5" customHeight="1">
      <c r="A14" s="2" t="s">
        <v>133</v>
      </c>
      <c r="B14" s="13" t="s">
        <v>720</v>
      </c>
      <c r="C14" s="13" t="s">
        <v>721</v>
      </c>
    </row>
    <row r="15" spans="1:7" ht="34.5" customHeight="1">
      <c r="A15" s="3" t="s">
        <v>148</v>
      </c>
      <c r="B15" s="13" t="s">
        <v>722</v>
      </c>
      <c r="C15" s="13" t="s">
        <v>723</v>
      </c>
    </row>
    <row r="16" spans="1:7" ht="34.5" customHeight="1">
      <c r="A16" s="2" t="s">
        <v>157</v>
      </c>
      <c r="B16" s="13" t="s">
        <v>724</v>
      </c>
      <c r="C16" s="13" t="s">
        <v>725</v>
      </c>
    </row>
    <row r="17" spans="1:3" ht="34.5" customHeight="1">
      <c r="A17" s="3" t="s">
        <v>162</v>
      </c>
      <c r="B17" s="13" t="s">
        <v>726</v>
      </c>
      <c r="C17" s="13" t="s">
        <v>727</v>
      </c>
    </row>
    <row r="18" spans="1:3" ht="33.75" customHeight="1">
      <c r="A18" s="2" t="s">
        <v>171</v>
      </c>
      <c r="B18" s="13" t="s">
        <v>728</v>
      </c>
      <c r="C18" s="13" t="s">
        <v>729</v>
      </c>
    </row>
    <row r="19" spans="1:3" ht="34.5" customHeight="1">
      <c r="A19" s="3" t="s">
        <v>176</v>
      </c>
      <c r="B19" s="13" t="s">
        <v>730</v>
      </c>
      <c r="C19" s="13" t="s">
        <v>731</v>
      </c>
    </row>
    <row r="20" spans="1:3" ht="34.5" customHeight="1">
      <c r="A20" s="2" t="s">
        <v>180</v>
      </c>
      <c r="B20" s="13" t="s">
        <v>732</v>
      </c>
      <c r="C20" s="13" t="s">
        <v>733</v>
      </c>
    </row>
    <row r="21" spans="1:3" ht="34.5" customHeight="1">
      <c r="A21" s="3" t="s">
        <v>200</v>
      </c>
      <c r="B21" s="13" t="s">
        <v>734</v>
      </c>
      <c r="C21" s="13" t="s">
        <v>735</v>
      </c>
    </row>
    <row r="22" spans="1:3" ht="34.5" customHeight="1">
      <c r="A22" s="2" t="s">
        <v>206</v>
      </c>
      <c r="B22" s="13"/>
      <c r="C22" s="13" t="s">
        <v>736</v>
      </c>
    </row>
    <row r="23" spans="1:3" ht="34.5" customHeight="1">
      <c r="A23" s="3" t="s">
        <v>211</v>
      </c>
      <c r="B23" s="13" t="s">
        <v>737</v>
      </c>
      <c r="C23" s="13" t="s">
        <v>738</v>
      </c>
    </row>
    <row r="24" spans="1:3" ht="34.5" customHeight="1">
      <c r="A24" s="2" t="s">
        <v>215</v>
      </c>
      <c r="B24" s="13" t="s">
        <v>739</v>
      </c>
      <c r="C24" s="13" t="s">
        <v>740</v>
      </c>
    </row>
    <row r="25" spans="1:3" ht="34.5" customHeight="1">
      <c r="A25" s="3" t="s">
        <v>219</v>
      </c>
      <c r="B25" s="13" t="s">
        <v>741</v>
      </c>
      <c r="C25" s="13" t="s">
        <v>742</v>
      </c>
    </row>
    <row r="26" spans="1:3" ht="34.5" customHeight="1">
      <c r="A26" s="2" t="s">
        <v>247</v>
      </c>
      <c r="B26" s="13" t="s">
        <v>743</v>
      </c>
      <c r="C26" s="13" t="s">
        <v>744</v>
      </c>
    </row>
    <row r="27" spans="1:3" ht="34.5" customHeight="1">
      <c r="A27" s="3" t="s">
        <v>256</v>
      </c>
      <c r="B27" s="13" t="s">
        <v>745</v>
      </c>
      <c r="C27" s="13" t="s">
        <v>746</v>
      </c>
    </row>
    <row r="28" spans="1:3" ht="34.5" customHeight="1">
      <c r="A28" s="2" t="s">
        <v>263</v>
      </c>
      <c r="B28" s="13"/>
      <c r="C28" s="13" t="s">
        <v>747</v>
      </c>
    </row>
    <row r="29" spans="1:3" ht="34.5" customHeight="1">
      <c r="A29" s="3" t="s">
        <v>266</v>
      </c>
      <c r="B29" s="13" t="s">
        <v>748</v>
      </c>
      <c r="C29" s="13" t="s">
        <v>749</v>
      </c>
    </row>
    <row r="30" spans="1:3" ht="34.5" customHeight="1">
      <c r="A30" s="2" t="s">
        <v>270</v>
      </c>
      <c r="B30" s="13" t="s">
        <v>750</v>
      </c>
      <c r="C30" s="13" t="s">
        <v>751</v>
      </c>
    </row>
    <row r="31" spans="1:3" ht="34.5" customHeight="1">
      <c r="A31" s="3" t="s">
        <v>318</v>
      </c>
      <c r="B31" s="13" t="s">
        <v>752</v>
      </c>
      <c r="C31" s="13" t="s">
        <v>753</v>
      </c>
    </row>
    <row r="32" spans="1:3" ht="33.75" customHeight="1">
      <c r="A32" s="2" t="s">
        <v>660</v>
      </c>
      <c r="B32" s="13" t="s">
        <v>754</v>
      </c>
      <c r="C32" s="13" t="s">
        <v>755</v>
      </c>
    </row>
    <row r="33" spans="1:3" ht="34.5" customHeight="1">
      <c r="A33" s="3" t="s">
        <v>664</v>
      </c>
      <c r="B33" s="13" t="s">
        <v>756</v>
      </c>
      <c r="C33" s="13" t="s">
        <v>757</v>
      </c>
    </row>
    <row r="34" spans="1:3" ht="34.5" customHeight="1">
      <c r="A34" s="2" t="s">
        <v>463</v>
      </c>
      <c r="B34" s="13" t="s">
        <v>758</v>
      </c>
      <c r="C34" s="13" t="s">
        <v>759</v>
      </c>
    </row>
    <row r="35" spans="1:3" ht="34.5" customHeight="1">
      <c r="A35" s="3" t="s">
        <v>27</v>
      </c>
      <c r="B35" s="13" t="s">
        <v>760</v>
      </c>
      <c r="C35" s="13" t="s">
        <v>761</v>
      </c>
    </row>
    <row r="36" spans="1:3" ht="34.5" customHeight="1">
      <c r="A36" s="2" t="s">
        <v>62</v>
      </c>
      <c r="B36" s="13" t="s">
        <v>762</v>
      </c>
      <c r="C36" s="13" t="s">
        <v>763</v>
      </c>
    </row>
    <row r="37" spans="1:3" ht="34.5" customHeight="1">
      <c r="A37" s="3" t="s">
        <v>103</v>
      </c>
      <c r="B37" s="13" t="s">
        <v>764</v>
      </c>
      <c r="C37" s="13" t="s">
        <v>765</v>
      </c>
    </row>
    <row r="38" spans="1:3" ht="34.5" customHeight="1">
      <c r="A38" s="2" t="s">
        <v>164</v>
      </c>
      <c r="B38" s="13" t="s">
        <v>766</v>
      </c>
      <c r="C38" s="13" t="s">
        <v>767</v>
      </c>
    </row>
    <row r="39" spans="1:3" ht="34.5" customHeight="1">
      <c r="A39" s="3" t="s">
        <v>168</v>
      </c>
      <c r="B39" s="13" t="s">
        <v>768</v>
      </c>
      <c r="C39" s="13" t="s">
        <v>769</v>
      </c>
    </row>
    <row r="40" spans="1:3" ht="34.5" customHeight="1">
      <c r="A40" s="2" t="s">
        <v>173</v>
      </c>
      <c r="B40" s="13" t="s">
        <v>770</v>
      </c>
      <c r="C40" s="13" t="s">
        <v>771</v>
      </c>
    </row>
    <row r="41" spans="1:3" ht="34.5" customHeight="1">
      <c r="A41" s="3" t="s">
        <v>251</v>
      </c>
      <c r="B41" s="13" t="s">
        <v>772</v>
      </c>
      <c r="C41" s="13" t="s">
        <v>773</v>
      </c>
    </row>
    <row r="42" spans="1:3" ht="34.5" customHeight="1">
      <c r="A42" s="2" t="s">
        <v>653</v>
      </c>
      <c r="B42" s="13" t="s">
        <v>774</v>
      </c>
      <c r="C42" s="13" t="s">
        <v>775</v>
      </c>
    </row>
    <row r="43" spans="1:3" ht="34.5" customHeight="1">
      <c r="A43" s="3" t="s">
        <v>282</v>
      </c>
      <c r="B43" s="13" t="s">
        <v>776</v>
      </c>
      <c r="C43" s="13" t="s">
        <v>777</v>
      </c>
    </row>
    <row r="44" spans="1:3" ht="34.5" customHeight="1">
      <c r="A44" s="2" t="s">
        <v>292</v>
      </c>
      <c r="B44" s="13" t="s">
        <v>778</v>
      </c>
      <c r="C44" s="13" t="s">
        <v>779</v>
      </c>
    </row>
    <row r="45" spans="1:3" ht="34.5" customHeight="1">
      <c r="A45" s="3" t="s">
        <v>301</v>
      </c>
      <c r="B45" s="13" t="s">
        <v>780</v>
      </c>
      <c r="C45" s="13" t="s">
        <v>781</v>
      </c>
    </row>
    <row r="46" spans="1:3" ht="33.75" customHeight="1">
      <c r="A46" s="2" t="s">
        <v>668</v>
      </c>
      <c r="B46" s="13" t="s">
        <v>782</v>
      </c>
      <c r="C46" s="13" t="s">
        <v>783</v>
      </c>
    </row>
    <row r="47" spans="1:3" ht="34.5" customHeight="1">
      <c r="A47" s="3" t="s">
        <v>119</v>
      </c>
      <c r="B47" s="13" t="s">
        <v>784</v>
      </c>
      <c r="C47" s="13" t="s">
        <v>785</v>
      </c>
    </row>
    <row r="48" spans="1:3" ht="34.5" customHeight="1">
      <c r="A48" s="2" t="s">
        <v>693</v>
      </c>
      <c r="B48" s="13" t="s">
        <v>786</v>
      </c>
      <c r="C48" s="13" t="s">
        <v>787</v>
      </c>
    </row>
    <row r="49" spans="1:3" ht="34.5" customHeight="1">
      <c r="A49" s="3" t="s">
        <v>286</v>
      </c>
      <c r="B49" s="13" t="s">
        <v>788</v>
      </c>
      <c r="C49" s="13" t="s">
        <v>789</v>
      </c>
    </row>
    <row r="50" spans="1:3" ht="34.5" customHeight="1">
      <c r="A50" s="2" t="s">
        <v>85</v>
      </c>
      <c r="B50" s="13" t="s">
        <v>790</v>
      </c>
      <c r="C50" s="13" t="s">
        <v>791</v>
      </c>
    </row>
    <row r="51" spans="1:3" ht="34.5" customHeight="1">
      <c r="A51" s="3" t="s">
        <v>126</v>
      </c>
      <c r="B51" s="13" t="s">
        <v>792</v>
      </c>
      <c r="C51" s="13" t="s">
        <v>793</v>
      </c>
    </row>
    <row r="52" spans="1:3" ht="34.5" customHeight="1">
      <c r="A52" s="2" t="s">
        <v>129</v>
      </c>
      <c r="B52" s="13" t="s">
        <v>794</v>
      </c>
      <c r="C52" s="13" t="s">
        <v>795</v>
      </c>
    </row>
    <row r="53" spans="1:3" ht="34.5" customHeight="1">
      <c r="A53" s="3" t="s">
        <v>223</v>
      </c>
      <c r="B53" s="13" t="s">
        <v>796</v>
      </c>
      <c r="C53" s="13" t="s">
        <v>797</v>
      </c>
    </row>
    <row r="54" spans="1:3" ht="34.5" customHeight="1">
      <c r="A54" s="2" t="s">
        <v>227</v>
      </c>
      <c r="B54" s="13" t="s">
        <v>798</v>
      </c>
      <c r="C54" s="13" t="s">
        <v>799</v>
      </c>
    </row>
    <row r="55" spans="1:3" ht="34.5" customHeight="1">
      <c r="A55" s="3" t="s">
        <v>675</v>
      </c>
      <c r="B55" s="13" t="s">
        <v>800</v>
      </c>
      <c r="C55" s="13" t="s">
        <v>801</v>
      </c>
    </row>
    <row r="56" spans="1:3" ht="34.5" customHeight="1">
      <c r="A56" s="2" t="s">
        <v>52</v>
      </c>
      <c r="B56" s="13" t="s">
        <v>802</v>
      </c>
      <c r="C56" s="13" t="s">
        <v>803</v>
      </c>
    </row>
    <row r="57" spans="1:3" ht="34.5" customHeight="1">
      <c r="A57" s="3" t="s">
        <v>203</v>
      </c>
      <c r="B57" s="13" t="s">
        <v>804</v>
      </c>
      <c r="C57" s="13" t="s">
        <v>805</v>
      </c>
    </row>
    <row r="58" spans="1:3" ht="34.5" customHeight="1">
      <c r="A58" s="2" t="s">
        <v>235</v>
      </c>
      <c r="B58" s="13" t="s">
        <v>806</v>
      </c>
      <c r="C58" s="13" t="s">
        <v>807</v>
      </c>
    </row>
    <row r="59" spans="1:3" ht="34.5" customHeight="1">
      <c r="A59" s="3" t="s">
        <v>244</v>
      </c>
      <c r="B59" s="13" t="s">
        <v>808</v>
      </c>
      <c r="C59" s="13" t="s">
        <v>809</v>
      </c>
    </row>
    <row r="60" spans="1:3" ht="34.5" customHeight="1">
      <c r="A60" s="2" t="s">
        <v>276</v>
      </c>
      <c r="B60" s="13" t="s">
        <v>810</v>
      </c>
      <c r="C60" s="13" t="s">
        <v>811</v>
      </c>
    </row>
    <row r="61" spans="1:3" ht="33.75" customHeight="1">
      <c r="A61" s="3" t="s">
        <v>295</v>
      </c>
      <c r="B61" s="13" t="s">
        <v>812</v>
      </c>
      <c r="C61" s="13" t="s">
        <v>813</v>
      </c>
    </row>
    <row r="62" spans="1:3" ht="34.5" customHeight="1">
      <c r="A62" s="2" t="s">
        <v>144</v>
      </c>
      <c r="B62" s="13" t="s">
        <v>814</v>
      </c>
      <c r="C62" s="13" t="s">
        <v>815</v>
      </c>
    </row>
    <row r="63" spans="1:3" ht="34.5" customHeight="1">
      <c r="A63" s="3" t="s">
        <v>190</v>
      </c>
      <c r="B63" s="13" t="s">
        <v>816</v>
      </c>
      <c r="C63" s="13" t="s">
        <v>817</v>
      </c>
    </row>
    <row r="64" spans="1:3" ht="34.5" customHeight="1">
      <c r="A64" s="2" t="s">
        <v>45</v>
      </c>
      <c r="B64" s="13" t="s">
        <v>818</v>
      </c>
      <c r="C64" s="13" t="s">
        <v>819</v>
      </c>
    </row>
    <row r="65" spans="1:3" ht="34.5" customHeight="1">
      <c r="A65" s="3" t="s">
        <v>140</v>
      </c>
      <c r="B65" s="13" t="s">
        <v>820</v>
      </c>
      <c r="C65" s="13" t="s">
        <v>821</v>
      </c>
    </row>
    <row r="66" spans="1:3" ht="34.5" customHeight="1">
      <c r="A66" s="2" t="s">
        <v>153</v>
      </c>
      <c r="B66" s="13" t="s">
        <v>822</v>
      </c>
      <c r="C66" s="13" t="s">
        <v>823</v>
      </c>
    </row>
    <row r="67" spans="1:3" ht="34.5" customHeight="1">
      <c r="A67" s="3" t="s">
        <v>184</v>
      </c>
      <c r="B67" s="13" t="s">
        <v>824</v>
      </c>
      <c r="C67" s="13" t="s">
        <v>825</v>
      </c>
    </row>
    <row r="68" spans="1:3" ht="34.5" customHeight="1">
      <c r="A68" s="2" t="s">
        <v>273</v>
      </c>
      <c r="B68" s="13" t="s">
        <v>826</v>
      </c>
      <c r="C68" s="13" t="s">
        <v>827</v>
      </c>
    </row>
    <row r="69" spans="1:3" ht="34.5" customHeight="1">
      <c r="A69" s="3" t="s">
        <v>298</v>
      </c>
      <c r="B69" s="13" t="s">
        <v>828</v>
      </c>
      <c r="C69" s="13" t="s">
        <v>829</v>
      </c>
    </row>
    <row r="70" spans="1:3" ht="34.5" customHeight="1">
      <c r="A70" s="2" t="s">
        <v>99</v>
      </c>
      <c r="B70" s="13" t="s">
        <v>830</v>
      </c>
      <c r="C70" s="13" t="s">
        <v>831</v>
      </c>
    </row>
    <row r="71" spans="1:3" ht="34.5" customHeight="1">
      <c r="A71" s="3" t="s">
        <v>240</v>
      </c>
      <c r="B71" s="13" t="s">
        <v>832</v>
      </c>
      <c r="C71" s="13" t="s">
        <v>833</v>
      </c>
    </row>
    <row r="72" spans="1:3" ht="34.5" customHeight="1">
      <c r="A72" s="2" t="s">
        <v>136</v>
      </c>
      <c r="B72" s="13" t="s">
        <v>834</v>
      </c>
      <c r="C72" s="13" t="s">
        <v>835</v>
      </c>
    </row>
    <row r="73" spans="1:3" ht="34.5" customHeight="1">
      <c r="A73" s="3" t="s">
        <v>311</v>
      </c>
      <c r="B73" s="13" t="s">
        <v>836</v>
      </c>
      <c r="C73" s="13" t="s">
        <v>837</v>
      </c>
    </row>
    <row r="74" spans="1:3" ht="34.5" customHeight="1">
      <c r="A74" s="2" t="s">
        <v>690</v>
      </c>
      <c r="B74" s="13" t="s">
        <v>838</v>
      </c>
      <c r="C74" s="13" t="s">
        <v>839</v>
      </c>
    </row>
    <row r="75" spans="1:3" ht="33.75" customHeight="1">
      <c r="A75" s="3" t="s">
        <v>565</v>
      </c>
      <c r="B75" s="13" t="s">
        <v>840</v>
      </c>
      <c r="C75" s="13" t="s">
        <v>841</v>
      </c>
    </row>
    <row r="76" spans="1:3" ht="34.5" customHeight="1">
      <c r="A76" s="2" t="s">
        <v>459</v>
      </c>
      <c r="B76" s="13" t="s">
        <v>842</v>
      </c>
      <c r="C76" s="13" t="s">
        <v>843</v>
      </c>
    </row>
    <row r="77" spans="1:3" ht="34.5" customHeight="1">
      <c r="A77" s="3" t="s">
        <v>456</v>
      </c>
      <c r="B77" s="13" t="s">
        <v>844</v>
      </c>
      <c r="C77" s="13" t="s">
        <v>845</v>
      </c>
    </row>
    <row r="78" spans="1:3" ht="34.5" customHeight="1">
      <c r="A78" s="2" t="s">
        <v>307</v>
      </c>
      <c r="B78" s="13" t="s">
        <v>846</v>
      </c>
      <c r="C78" s="13" t="s">
        <v>847</v>
      </c>
    </row>
    <row r="79" spans="1:3" ht="34.5" customHeight="1">
      <c r="A79" s="3" t="s">
        <v>697</v>
      </c>
      <c r="B79" s="13" t="s">
        <v>848</v>
      </c>
      <c r="C79" s="13" t="s">
        <v>849</v>
      </c>
    </row>
    <row r="80" spans="1:3" ht="34.5" customHeight="1">
      <c r="A80" s="2" t="s">
        <v>196</v>
      </c>
      <c r="B80" s="13" t="s">
        <v>850</v>
      </c>
      <c r="C80" s="13" t="s">
        <v>851</v>
      </c>
    </row>
    <row r="81" spans="1:3" ht="34.5" customHeight="1">
      <c r="A81" s="3" t="s">
        <v>288</v>
      </c>
      <c r="B81" s="13" t="s">
        <v>852</v>
      </c>
      <c r="C81" s="13" t="s">
        <v>853</v>
      </c>
    </row>
    <row r="82" spans="1:3" ht="34.5" customHeight="1">
      <c r="A82" s="2" t="s">
        <v>260</v>
      </c>
      <c r="B82" s="13" t="s">
        <v>854</v>
      </c>
      <c r="C82" s="13" t="s">
        <v>855</v>
      </c>
    </row>
    <row r="83" spans="1:3" ht="34.5" customHeight="1">
      <c r="A83" s="3" t="s">
        <v>70</v>
      </c>
      <c r="B83" s="13" t="s">
        <v>856</v>
      </c>
      <c r="C83" s="13" t="s">
        <v>857</v>
      </c>
    </row>
    <row r="84" spans="1:3" ht="34.5" customHeight="1">
      <c r="A84" s="2" t="s">
        <v>193</v>
      </c>
      <c r="B84" s="13" t="s">
        <v>858</v>
      </c>
      <c r="C84" s="13" t="s">
        <v>859</v>
      </c>
    </row>
    <row r="85" spans="1:3" ht="34.5" customHeight="1">
      <c r="A85" s="3" t="s">
        <v>327</v>
      </c>
      <c r="B85" s="13" t="s">
        <v>860</v>
      </c>
      <c r="C85" s="13" t="s">
        <v>861</v>
      </c>
    </row>
    <row r="86" spans="1:3" ht="34.5" customHeight="1">
      <c r="A86" s="2" t="s">
        <v>679</v>
      </c>
      <c r="B86" s="13" t="s">
        <v>862</v>
      </c>
      <c r="C86" s="13" t="s">
        <v>863</v>
      </c>
    </row>
    <row r="87" spans="1:3" ht="34.5" customHeight="1">
      <c r="A87" s="3" t="s">
        <v>40</v>
      </c>
      <c r="B87" s="13" t="s">
        <v>864</v>
      </c>
      <c r="C87" s="13" t="s">
        <v>865</v>
      </c>
    </row>
    <row r="88" spans="1:3" ht="34.5" customHeight="1">
      <c r="A88" s="2" t="s">
        <v>80</v>
      </c>
      <c r="B88" s="13" t="s">
        <v>866</v>
      </c>
      <c r="C88" s="13" t="s">
        <v>867</v>
      </c>
    </row>
    <row r="89" spans="1:3" ht="33.75" customHeight="1">
      <c r="A89" s="3" t="s">
        <v>90</v>
      </c>
      <c r="B89" s="13" t="s">
        <v>868</v>
      </c>
      <c r="C89" s="13" t="s">
        <v>869</v>
      </c>
    </row>
    <row r="90" spans="1:3" ht="34.5" customHeight="1">
      <c r="A90" s="2" t="s">
        <v>232</v>
      </c>
      <c r="B90" s="13" t="s">
        <v>870</v>
      </c>
      <c r="C90" s="13" t="s">
        <v>871</v>
      </c>
    </row>
    <row r="91" spans="1:3" ht="34.5" customHeight="1">
      <c r="A91" s="3" t="s">
        <v>279</v>
      </c>
      <c r="B91" s="13" t="s">
        <v>872</v>
      </c>
      <c r="C91" s="13" t="s">
        <v>873</v>
      </c>
    </row>
    <row r="92" spans="1:3" ht="34.5" customHeight="1">
      <c r="A92" s="2" t="s">
        <v>187</v>
      </c>
      <c r="B92" s="13" t="s">
        <v>874</v>
      </c>
      <c r="C92" s="13" t="s">
        <v>875</v>
      </c>
    </row>
    <row r="93" spans="1:3" ht="34.5" customHeight="1">
      <c r="A93" s="3" t="s">
        <v>323</v>
      </c>
      <c r="B93" s="13" t="s">
        <v>876</v>
      </c>
      <c r="C93" s="13" t="s">
        <v>877</v>
      </c>
    </row>
    <row r="94" spans="1:3" ht="34.5" customHeight="1">
      <c r="A94" s="2" t="s">
        <v>34</v>
      </c>
      <c r="B94" s="13" t="s">
        <v>878</v>
      </c>
      <c r="C94" s="13" t="s">
        <v>879</v>
      </c>
    </row>
    <row r="95" spans="1:3" ht="34.5" customHeight="1">
      <c r="A95" s="3" t="s">
        <v>304</v>
      </c>
      <c r="B95" s="13" t="s">
        <v>880</v>
      </c>
      <c r="C95" s="13" t="s">
        <v>881</v>
      </c>
    </row>
    <row r="96" spans="1:3" ht="34.5" customHeight="1">
      <c r="A96" s="2" t="s">
        <v>683</v>
      </c>
      <c r="B96" s="13" t="s">
        <v>882</v>
      </c>
      <c r="C96" s="13" t="s">
        <v>883</v>
      </c>
    </row>
    <row r="97" spans="1:3" ht="34.5" customHeight="1">
      <c r="A97" s="3" t="s">
        <v>75</v>
      </c>
      <c r="B97" s="13" t="s">
        <v>884</v>
      </c>
      <c r="C97" s="13" t="s">
        <v>885</v>
      </c>
    </row>
    <row r="98" spans="1:3" ht="34.5" customHeight="1">
      <c r="A98" s="2" t="s">
        <v>314</v>
      </c>
      <c r="B98" s="13" t="s">
        <v>886</v>
      </c>
      <c r="C98" s="13" t="s">
        <v>887</v>
      </c>
    </row>
    <row r="99" spans="1:3" ht="34.5" customHeight="1">
      <c r="A99" s="3" t="s">
        <v>687</v>
      </c>
      <c r="B99" s="13" t="s">
        <v>888</v>
      </c>
      <c r="C99" s="13" t="s">
        <v>889</v>
      </c>
    </row>
    <row r="100" spans="1:3" ht="34.5" customHeight="1">
      <c r="A100" s="2" t="s">
        <v>671</v>
      </c>
      <c r="B100" s="13" t="s">
        <v>890</v>
      </c>
      <c r="C100" s="13" t="s">
        <v>891</v>
      </c>
    </row>
    <row r="101" spans="1:3" ht="34.5" customHeight="1">
      <c r="A101" s="3" t="s">
        <v>330</v>
      </c>
      <c r="B101" s="13" t="s">
        <v>892</v>
      </c>
      <c r="C101" s="13" t="s">
        <v>893</v>
      </c>
    </row>
    <row r="102" spans="1:3" ht="34.5" customHeight="1">
      <c r="A102" s="2" t="s">
        <v>334</v>
      </c>
      <c r="B102" s="13" t="s">
        <v>894</v>
      </c>
      <c r="C102" s="13" t="s">
        <v>895</v>
      </c>
    </row>
    <row r="103" spans="1:3" ht="33.75" customHeight="1">
      <c r="A103" s="3" t="s">
        <v>348</v>
      </c>
      <c r="B103" s="13" t="s">
        <v>896</v>
      </c>
      <c r="C103" s="13" t="s">
        <v>897</v>
      </c>
    </row>
    <row r="104" spans="1:3" ht="34.5" customHeight="1">
      <c r="A104" s="2" t="s">
        <v>351</v>
      </c>
      <c r="B104" s="13" t="s">
        <v>898</v>
      </c>
      <c r="C104" s="13" t="s">
        <v>899</v>
      </c>
    </row>
    <row r="105" spans="1:3" ht="34.5" customHeight="1">
      <c r="A105" s="3" t="s">
        <v>353</v>
      </c>
      <c r="B105" s="13" t="s">
        <v>900</v>
      </c>
      <c r="C105" s="13" t="s">
        <v>901</v>
      </c>
    </row>
    <row r="106" spans="1:3" ht="34.5" customHeight="1">
      <c r="A106" s="2" t="s">
        <v>356</v>
      </c>
      <c r="B106" s="13" t="s">
        <v>902</v>
      </c>
      <c r="C106" s="13" t="s">
        <v>903</v>
      </c>
    </row>
    <row r="107" spans="1:3" ht="34.5" customHeight="1">
      <c r="A107" s="3" t="s">
        <v>338</v>
      </c>
      <c r="B107" s="13" t="s">
        <v>904</v>
      </c>
      <c r="C107" s="13" t="s">
        <v>905</v>
      </c>
    </row>
    <row r="108" spans="1:3" ht="34.5" customHeight="1">
      <c r="A108" s="2" t="s">
        <v>341</v>
      </c>
      <c r="B108" s="13" t="s">
        <v>906</v>
      </c>
      <c r="C108" s="13" t="s">
        <v>907</v>
      </c>
    </row>
    <row r="109" spans="1:3" ht="34.5" customHeight="1">
      <c r="A109" s="3" t="s">
        <v>362</v>
      </c>
      <c r="B109" s="13" t="s">
        <v>908</v>
      </c>
      <c r="C109" s="13" t="s">
        <v>909</v>
      </c>
    </row>
    <row r="110" spans="1:3" ht="34.5" customHeight="1">
      <c r="A110" s="2" t="s">
        <v>359</v>
      </c>
      <c r="B110" s="13" t="s">
        <v>910</v>
      </c>
      <c r="C110" s="13" t="s">
        <v>911</v>
      </c>
    </row>
    <row r="111" spans="1:3" ht="34.5" customHeight="1">
      <c r="A111" s="3" t="s">
        <v>345</v>
      </c>
      <c r="B111" s="13" t="s">
        <v>912</v>
      </c>
      <c r="C111" s="13" t="s">
        <v>913</v>
      </c>
    </row>
    <row r="112" spans="1:3" ht="34.5" customHeight="1">
      <c r="A112" s="2" t="s">
        <v>372</v>
      </c>
      <c r="B112" s="13" t="s">
        <v>914</v>
      </c>
      <c r="C112" s="13" t="s">
        <v>915</v>
      </c>
    </row>
    <row r="113" spans="1:3" ht="34.5" customHeight="1">
      <c r="A113" s="3" t="s">
        <v>366</v>
      </c>
      <c r="B113" s="13" t="s">
        <v>916</v>
      </c>
      <c r="C113" s="13" t="s">
        <v>917</v>
      </c>
    </row>
    <row r="114" spans="1:3" ht="34.5" customHeight="1">
      <c r="A114" s="2" t="s">
        <v>369</v>
      </c>
      <c r="B114" s="13" t="s">
        <v>918</v>
      </c>
      <c r="C114" s="13" t="s">
        <v>919</v>
      </c>
    </row>
    <row r="115" spans="1:3" ht="34.5" customHeight="1">
      <c r="A115" s="3" t="s">
        <v>375</v>
      </c>
      <c r="B115" s="13" t="s">
        <v>920</v>
      </c>
      <c r="C115" s="13" t="s">
        <v>921</v>
      </c>
    </row>
    <row r="116" spans="1:3" ht="34.5" customHeight="1">
      <c r="A116" s="2" t="s">
        <v>378</v>
      </c>
      <c r="B116" s="13" t="s">
        <v>922</v>
      </c>
      <c r="C116" s="13" t="s">
        <v>923</v>
      </c>
    </row>
    <row r="117" spans="1:3" ht="34.5" customHeight="1">
      <c r="A117" s="3" t="s">
        <v>381</v>
      </c>
      <c r="B117" s="13" t="s">
        <v>924</v>
      </c>
      <c r="C117" s="13" t="s">
        <v>925</v>
      </c>
    </row>
    <row r="118" spans="1:3" ht="33.75" customHeight="1">
      <c r="A118" s="2" t="s">
        <v>384</v>
      </c>
      <c r="B118" s="13" t="s">
        <v>926</v>
      </c>
      <c r="C118" s="13" t="s">
        <v>927</v>
      </c>
    </row>
    <row r="119" spans="1:3" ht="34.5" customHeight="1">
      <c r="A119" s="3" t="s">
        <v>387</v>
      </c>
      <c r="B119" s="13" t="s">
        <v>928</v>
      </c>
      <c r="C119" s="13" t="s">
        <v>929</v>
      </c>
    </row>
    <row r="120" spans="1:3" ht="34.5" customHeight="1">
      <c r="A120" s="2" t="s">
        <v>391</v>
      </c>
      <c r="B120" s="13" t="s">
        <v>930</v>
      </c>
      <c r="C120" s="13" t="s">
        <v>931</v>
      </c>
    </row>
    <row r="121" spans="1:3" ht="34.5" customHeight="1">
      <c r="A121" s="3" t="s">
        <v>394</v>
      </c>
      <c r="B121" s="13" t="s">
        <v>932</v>
      </c>
      <c r="C121" s="13" t="s">
        <v>933</v>
      </c>
    </row>
    <row r="122" spans="1:3" ht="34.5" customHeight="1">
      <c r="A122" s="2" t="s">
        <v>398</v>
      </c>
      <c r="B122" s="13" t="s">
        <v>934</v>
      </c>
      <c r="C122" s="13" t="s">
        <v>935</v>
      </c>
    </row>
    <row r="123" spans="1:3" ht="34.5" customHeight="1">
      <c r="A123" s="3" t="s">
        <v>401</v>
      </c>
      <c r="B123" s="13" t="s">
        <v>936</v>
      </c>
      <c r="C123" s="13" t="s">
        <v>937</v>
      </c>
    </row>
    <row r="124" spans="1:3" ht="34.5" customHeight="1">
      <c r="A124" s="2" t="s">
        <v>404</v>
      </c>
      <c r="B124" s="13" t="s">
        <v>938</v>
      </c>
      <c r="C124" s="13" t="s">
        <v>939</v>
      </c>
    </row>
    <row r="125" spans="1:3" ht="34.5" customHeight="1">
      <c r="A125" s="3" t="s">
        <v>407</v>
      </c>
      <c r="B125" s="13" t="s">
        <v>940</v>
      </c>
      <c r="C125" s="13" t="s">
        <v>941</v>
      </c>
    </row>
    <row r="126" spans="1:3" ht="34.5" customHeight="1">
      <c r="A126" s="2" t="s">
        <v>410</v>
      </c>
      <c r="B126" s="13" t="s">
        <v>942</v>
      </c>
      <c r="C126" s="13" t="s">
        <v>943</v>
      </c>
    </row>
    <row r="127" spans="1:3" ht="34.5" customHeight="1">
      <c r="A127" s="3" t="s">
        <v>427</v>
      </c>
      <c r="B127" s="13"/>
      <c r="C127" s="13" t="s">
        <v>944</v>
      </c>
    </row>
    <row r="128" spans="1:3" ht="34.5" customHeight="1">
      <c r="A128" s="2" t="s">
        <v>424</v>
      </c>
      <c r="B128" s="13"/>
      <c r="C128" s="13" t="s">
        <v>945</v>
      </c>
    </row>
    <row r="129" spans="1:3" ht="34.5" customHeight="1">
      <c r="A129" s="3" t="s">
        <v>413</v>
      </c>
      <c r="B129" s="13" t="s">
        <v>946</v>
      </c>
      <c r="C129" s="13" t="s">
        <v>947</v>
      </c>
    </row>
    <row r="130" spans="1:3" ht="34.5" customHeight="1">
      <c r="A130" s="2" t="s">
        <v>417</v>
      </c>
      <c r="B130" s="13" t="s">
        <v>948</v>
      </c>
      <c r="C130" s="13" t="s">
        <v>949</v>
      </c>
    </row>
    <row r="131" spans="1:3" ht="34.5" customHeight="1">
      <c r="A131" s="3" t="s">
        <v>421</v>
      </c>
      <c r="B131" s="13" t="s">
        <v>950</v>
      </c>
      <c r="C131" s="13" t="s">
        <v>951</v>
      </c>
    </row>
    <row r="132" spans="1:3" ht="33.75" customHeight="1">
      <c r="A132" s="2" t="s">
        <v>430</v>
      </c>
      <c r="B132" s="13" t="s">
        <v>952</v>
      </c>
      <c r="C132" s="13" t="s">
        <v>953</v>
      </c>
    </row>
    <row r="133" spans="1:3" ht="34.5" customHeight="1">
      <c r="A133" s="3" t="s">
        <v>434</v>
      </c>
      <c r="B133" s="13" t="s">
        <v>954</v>
      </c>
      <c r="C133" s="13" t="s">
        <v>955</v>
      </c>
    </row>
    <row r="134" spans="1:3" ht="34.5" customHeight="1">
      <c r="A134" s="2" t="s">
        <v>437</v>
      </c>
      <c r="B134" s="13" t="s">
        <v>956</v>
      </c>
      <c r="C134" s="13" t="s">
        <v>957</v>
      </c>
    </row>
    <row r="135" spans="1:3" ht="34.5" customHeight="1">
      <c r="A135" s="3" t="s">
        <v>440</v>
      </c>
      <c r="B135" s="13" t="s">
        <v>958</v>
      </c>
      <c r="C135" s="13" t="s">
        <v>959</v>
      </c>
    </row>
    <row r="136" spans="1:3" ht="34.5" customHeight="1">
      <c r="A136" s="2" t="s">
        <v>443</v>
      </c>
      <c r="B136" s="13" t="s">
        <v>960</v>
      </c>
      <c r="C136" s="13" t="s">
        <v>961</v>
      </c>
    </row>
    <row r="137" spans="1:3" ht="34.5" customHeight="1">
      <c r="A137" s="3" t="s">
        <v>446</v>
      </c>
      <c r="B137" s="13" t="s">
        <v>962</v>
      </c>
      <c r="C137" s="13" t="s">
        <v>963</v>
      </c>
    </row>
    <row r="138" spans="1:3" ht="34.5" customHeight="1">
      <c r="A138" s="2" t="s">
        <v>450</v>
      </c>
      <c r="B138" s="13" t="s">
        <v>964</v>
      </c>
      <c r="C138" s="13" t="s">
        <v>965</v>
      </c>
    </row>
    <row r="139" spans="1:3" ht="34.5" customHeight="1">
      <c r="A139" s="3" t="s">
        <v>453</v>
      </c>
      <c r="B139" s="13" t="s">
        <v>966</v>
      </c>
      <c r="C139" s="13" t="s">
        <v>967</v>
      </c>
    </row>
    <row r="140" spans="1:3" ht="34.5" customHeight="1">
      <c r="A140" s="2" t="s">
        <v>466</v>
      </c>
      <c r="B140" s="13" t="s">
        <v>968</v>
      </c>
      <c r="C140" s="13" t="s">
        <v>969</v>
      </c>
    </row>
    <row r="141" spans="1:3" ht="34.5" customHeight="1">
      <c r="A141" s="3" t="s">
        <v>470</v>
      </c>
      <c r="B141" s="13" t="s">
        <v>970</v>
      </c>
      <c r="C141" s="13" t="s">
        <v>971</v>
      </c>
    </row>
    <row r="142" spans="1:3" ht="34.5" customHeight="1">
      <c r="A142" s="2" t="s">
        <v>474</v>
      </c>
      <c r="B142" s="13" t="s">
        <v>972</v>
      </c>
      <c r="C142" s="13" t="s">
        <v>973</v>
      </c>
    </row>
    <row r="143" spans="1:3" ht="34.5" customHeight="1">
      <c r="A143" s="3" t="s">
        <v>477</v>
      </c>
      <c r="B143" s="13" t="s">
        <v>974</v>
      </c>
      <c r="C143" s="13" t="s">
        <v>975</v>
      </c>
    </row>
    <row r="144" spans="1:3" ht="34.5" customHeight="1">
      <c r="A144" s="2" t="s">
        <v>481</v>
      </c>
      <c r="B144" s="13" t="s">
        <v>976</v>
      </c>
      <c r="C144" s="13" t="s">
        <v>977</v>
      </c>
    </row>
    <row r="145" spans="1:3" ht="34.5" customHeight="1">
      <c r="A145" s="3" t="s">
        <v>505</v>
      </c>
      <c r="B145" s="13" t="s">
        <v>978</v>
      </c>
      <c r="C145" s="13" t="s">
        <v>979</v>
      </c>
    </row>
    <row r="146" spans="1:3" ht="33.75" customHeight="1">
      <c r="A146" s="2" t="s">
        <v>484</v>
      </c>
      <c r="B146" s="13" t="s">
        <v>980</v>
      </c>
      <c r="C146" s="13" t="s">
        <v>981</v>
      </c>
    </row>
    <row r="147" spans="1:3" ht="34.5" customHeight="1">
      <c r="A147" s="3" t="s">
        <v>487</v>
      </c>
      <c r="B147" s="13" t="s">
        <v>982</v>
      </c>
      <c r="C147" s="13" t="s">
        <v>983</v>
      </c>
    </row>
    <row r="148" spans="1:3" ht="34.5" customHeight="1">
      <c r="A148" s="2" t="s">
        <v>490</v>
      </c>
      <c r="B148" s="13" t="s">
        <v>984</v>
      </c>
      <c r="C148" s="13" t="s">
        <v>985</v>
      </c>
    </row>
    <row r="149" spans="1:3" ht="34.5" customHeight="1">
      <c r="A149" s="3" t="s">
        <v>495</v>
      </c>
      <c r="B149" s="13" t="s">
        <v>986</v>
      </c>
      <c r="C149" s="13" t="s">
        <v>987</v>
      </c>
    </row>
    <row r="150" spans="1:3" ht="34.5" customHeight="1">
      <c r="A150" s="2" t="s">
        <v>498</v>
      </c>
      <c r="B150" s="13" t="s">
        <v>988</v>
      </c>
      <c r="C150" s="13" t="s">
        <v>989</v>
      </c>
    </row>
    <row r="151" spans="1:3" ht="34.5" customHeight="1">
      <c r="A151" s="3" t="s">
        <v>501</v>
      </c>
      <c r="B151" s="13" t="s">
        <v>990</v>
      </c>
      <c r="C151" s="13" t="s">
        <v>991</v>
      </c>
    </row>
    <row r="152" spans="1:3" ht="34.5" customHeight="1">
      <c r="A152" s="2" t="s">
        <v>508</v>
      </c>
      <c r="B152" s="13" t="s">
        <v>992</v>
      </c>
      <c r="C152" s="13" t="s">
        <v>993</v>
      </c>
    </row>
    <row r="153" spans="1:3" ht="34.5" customHeight="1">
      <c r="A153" s="3" t="s">
        <v>524</v>
      </c>
      <c r="B153" s="13" t="s">
        <v>994</v>
      </c>
      <c r="C153" s="13" t="s">
        <v>995</v>
      </c>
    </row>
    <row r="154" spans="1:3" ht="34.5" customHeight="1">
      <c r="A154" s="2" t="s">
        <v>527</v>
      </c>
      <c r="B154" s="13" t="s">
        <v>996</v>
      </c>
      <c r="C154" s="13" t="s">
        <v>997</v>
      </c>
    </row>
    <row r="155" spans="1:3" ht="34.5" customHeight="1">
      <c r="A155" s="3" t="s">
        <v>533</v>
      </c>
      <c r="B155" s="13" t="s">
        <v>998</v>
      </c>
      <c r="C155" s="13" t="s">
        <v>999</v>
      </c>
    </row>
    <row r="156" spans="1:3" ht="34.5" customHeight="1">
      <c r="A156" s="2" t="s">
        <v>549</v>
      </c>
      <c r="B156" s="13" t="s">
        <v>1000</v>
      </c>
      <c r="C156" s="13" t="s">
        <v>1001</v>
      </c>
    </row>
    <row r="157" spans="1:3" ht="34.5" customHeight="1">
      <c r="A157" s="3" t="s">
        <v>521</v>
      </c>
      <c r="B157" s="13" t="s">
        <v>1002</v>
      </c>
      <c r="C157" s="13" t="s">
        <v>1003</v>
      </c>
    </row>
    <row r="158" spans="1:3" ht="34.5" customHeight="1">
      <c r="A158" s="2" t="s">
        <v>546</v>
      </c>
      <c r="B158" s="13" t="s">
        <v>1004</v>
      </c>
      <c r="C158" s="13" t="s">
        <v>1005</v>
      </c>
    </row>
    <row r="159" spans="1:3" ht="34.5" customHeight="1">
      <c r="A159" s="3" t="s">
        <v>540</v>
      </c>
      <c r="B159" s="13" t="s">
        <v>1006</v>
      </c>
      <c r="C159" s="13" t="s">
        <v>1007</v>
      </c>
    </row>
    <row r="160" spans="1:3" ht="33.75" customHeight="1">
      <c r="A160" s="2" t="s">
        <v>513</v>
      </c>
      <c r="B160" s="13" t="s">
        <v>1008</v>
      </c>
      <c r="C160" s="13" t="s">
        <v>1009</v>
      </c>
    </row>
    <row r="161" spans="1:3" ht="34.5" customHeight="1">
      <c r="A161" s="3" t="s">
        <v>543</v>
      </c>
      <c r="B161" s="13" t="s">
        <v>1010</v>
      </c>
      <c r="C161" s="13" t="s">
        <v>1011</v>
      </c>
    </row>
    <row r="162" spans="1:3" ht="34.5" customHeight="1">
      <c r="A162" s="2" t="s">
        <v>511</v>
      </c>
      <c r="B162" s="13" t="s">
        <v>1012</v>
      </c>
      <c r="C162" s="13" t="s">
        <v>1013</v>
      </c>
    </row>
    <row r="163" spans="1:3" ht="34.5" customHeight="1">
      <c r="A163" s="3" t="s">
        <v>536</v>
      </c>
      <c r="B163" s="13" t="s">
        <v>1014</v>
      </c>
      <c r="C163" s="13" t="s">
        <v>1015</v>
      </c>
    </row>
    <row r="164" spans="1:3" ht="34.5" customHeight="1">
      <c r="A164" s="2" t="s">
        <v>517</v>
      </c>
      <c r="B164" s="13" t="s">
        <v>1016</v>
      </c>
      <c r="C164" s="13" t="s">
        <v>1017</v>
      </c>
    </row>
    <row r="165" spans="1:3" ht="34.5" customHeight="1">
      <c r="A165" s="3" t="s">
        <v>530</v>
      </c>
      <c r="B165" s="13" t="s">
        <v>1018</v>
      </c>
      <c r="C165" s="13" t="s">
        <v>1019</v>
      </c>
    </row>
    <row r="166" spans="1:3" ht="34.5" customHeight="1">
      <c r="A166" s="2" t="s">
        <v>552</v>
      </c>
      <c r="B166" s="13" t="s">
        <v>1020</v>
      </c>
      <c r="C166" s="13" t="s">
        <v>1021</v>
      </c>
    </row>
    <row r="167" spans="1:3" ht="34.5" customHeight="1">
      <c r="A167" s="3" t="s">
        <v>555</v>
      </c>
      <c r="B167" s="13" t="s">
        <v>1022</v>
      </c>
      <c r="C167" s="13" t="s">
        <v>1023</v>
      </c>
    </row>
    <row r="168" spans="1:3" ht="34.5" customHeight="1">
      <c r="A168" s="2" t="s">
        <v>558</v>
      </c>
      <c r="B168" s="13" t="s">
        <v>1024</v>
      </c>
      <c r="C168" s="13" t="s">
        <v>1025</v>
      </c>
    </row>
    <row r="169" spans="1:3" ht="34.5" customHeight="1">
      <c r="A169" s="3" t="s">
        <v>562</v>
      </c>
      <c r="B169" s="13" t="s">
        <v>1026</v>
      </c>
      <c r="C169" s="13" t="s">
        <v>1027</v>
      </c>
    </row>
    <row r="170" spans="1:3" ht="34.5" customHeight="1">
      <c r="A170" s="2" t="s">
        <v>569</v>
      </c>
      <c r="B170" s="13" t="s">
        <v>1028</v>
      </c>
      <c r="C170" s="13" t="s">
        <v>1029</v>
      </c>
    </row>
    <row r="171" spans="1:3" ht="34.5" customHeight="1">
      <c r="A171" s="3" t="s">
        <v>567</v>
      </c>
      <c r="B171" s="13" t="s">
        <v>1030</v>
      </c>
      <c r="C171" s="13" t="s">
        <v>1031</v>
      </c>
    </row>
    <row r="172" spans="1:3" ht="34.5" customHeight="1">
      <c r="A172" s="2" t="s">
        <v>576</v>
      </c>
      <c r="B172" s="13" t="s">
        <v>1032</v>
      </c>
      <c r="C172" s="13" t="s">
        <v>1033</v>
      </c>
    </row>
    <row r="173" spans="1:3" ht="34.5" customHeight="1">
      <c r="A173" s="3" t="s">
        <v>572</v>
      </c>
      <c r="B173" s="13" t="s">
        <v>1034</v>
      </c>
      <c r="C173" s="13" t="s">
        <v>1035</v>
      </c>
    </row>
    <row r="174" spans="1:3" ht="33.75" customHeight="1">
      <c r="A174" s="2" t="s">
        <v>580</v>
      </c>
      <c r="B174" s="13" t="s">
        <v>1036</v>
      </c>
      <c r="C174" s="13" t="s">
        <v>1037</v>
      </c>
    </row>
    <row r="175" spans="1:3" ht="34.5" customHeight="1">
      <c r="A175" s="3" t="s">
        <v>584</v>
      </c>
      <c r="B175" s="13" t="s">
        <v>1038</v>
      </c>
      <c r="C175" s="13" t="s">
        <v>1039</v>
      </c>
    </row>
    <row r="176" spans="1:3" ht="34.5" customHeight="1">
      <c r="A176" s="2" t="s">
        <v>588</v>
      </c>
      <c r="B176" s="13" t="s">
        <v>1040</v>
      </c>
      <c r="C176" s="13" t="s">
        <v>1041</v>
      </c>
    </row>
    <row r="177" spans="1:4" ht="34.5" customHeight="1">
      <c r="A177" s="3" t="s">
        <v>592</v>
      </c>
      <c r="B177" s="13" t="s">
        <v>1042</v>
      </c>
      <c r="C177" s="13" t="s">
        <v>1043</v>
      </c>
    </row>
    <row r="178" spans="1:4" ht="34.5" customHeight="1">
      <c r="A178" s="2" t="s">
        <v>595</v>
      </c>
      <c r="B178" s="13" t="s">
        <v>1044</v>
      </c>
      <c r="C178" s="13" t="s">
        <v>1045</v>
      </c>
    </row>
    <row r="179" spans="1:4" ht="34.5" customHeight="1">
      <c r="A179" s="3" t="s">
        <v>598</v>
      </c>
      <c r="B179" s="13" t="s">
        <v>1046</v>
      </c>
      <c r="C179" s="13" t="s">
        <v>1047</v>
      </c>
    </row>
    <row r="180" spans="1:4" ht="34.5" customHeight="1">
      <c r="A180" s="2" t="s">
        <v>606</v>
      </c>
      <c r="B180" s="13" t="s">
        <v>1048</v>
      </c>
      <c r="C180" s="13" t="s">
        <v>1049</v>
      </c>
    </row>
    <row r="181" spans="1:4" ht="34.5" customHeight="1">
      <c r="A181" s="3" t="s">
        <v>602</v>
      </c>
      <c r="B181" s="13" t="s">
        <v>1050</v>
      </c>
      <c r="C181" s="13" t="s">
        <v>1051</v>
      </c>
    </row>
    <row r="182" spans="1:4" ht="34.5" customHeight="1">
      <c r="A182" s="2" t="s">
        <v>609</v>
      </c>
      <c r="B182" s="13" t="s">
        <v>1052</v>
      </c>
      <c r="C182" s="13" t="s">
        <v>1053</v>
      </c>
    </row>
    <row r="183" spans="1:4" ht="34.5" customHeight="1">
      <c r="A183" s="3" t="s">
        <v>613</v>
      </c>
      <c r="B183" s="13" t="s">
        <v>1054</v>
      </c>
      <c r="C183" s="13" t="s">
        <v>1055</v>
      </c>
    </row>
    <row r="184" spans="1:4" ht="34.5" customHeight="1">
      <c r="A184" s="2" t="s">
        <v>619</v>
      </c>
      <c r="B184" s="13" t="s">
        <v>1056</v>
      </c>
      <c r="C184" s="13" t="s">
        <v>1057</v>
      </c>
    </row>
    <row r="185" spans="1:4" ht="34.5" customHeight="1">
      <c r="A185" s="3" t="s">
        <v>623</v>
      </c>
      <c r="B185" s="13" t="s">
        <v>1058</v>
      </c>
      <c r="C185" s="13" t="s">
        <v>1059</v>
      </c>
    </row>
    <row r="186" spans="1:4" ht="34.5" customHeight="1">
      <c r="A186" s="2" t="s">
        <v>626</v>
      </c>
      <c r="B186" s="13" t="s">
        <v>1060</v>
      </c>
      <c r="C186" s="13" t="s">
        <v>1061</v>
      </c>
    </row>
    <row r="187" spans="1:4" ht="34.5" customHeight="1">
      <c r="A187" s="3" t="s">
        <v>616</v>
      </c>
      <c r="B187" s="13" t="s">
        <v>1062</v>
      </c>
      <c r="C187" s="13" t="s">
        <v>1063</v>
      </c>
    </row>
    <row r="188" spans="1:4" ht="34.5" customHeight="1">
      <c r="A188" s="2" t="s">
        <v>629</v>
      </c>
      <c r="B188" s="13" t="s">
        <v>1064</v>
      </c>
      <c r="C188" s="13" t="s">
        <v>1065</v>
      </c>
    </row>
    <row r="189" spans="1:4" ht="33.75" customHeight="1">
      <c r="A189" s="3" t="s">
        <v>649</v>
      </c>
      <c r="B189" s="19" t="s">
        <v>1066</v>
      </c>
      <c r="C189" s="13" t="s">
        <v>1067</v>
      </c>
    </row>
    <row r="190" spans="1:4" ht="34.5" customHeight="1">
      <c r="A190" s="2" t="s">
        <v>656</v>
      </c>
      <c r="B190" s="13" t="s">
        <v>1068</v>
      </c>
      <c r="C190" s="13" t="s">
        <v>1069</v>
      </c>
    </row>
    <row r="191" spans="1:4" ht="18" customHeight="1">
      <c r="A191" s="4" t="s">
        <v>1070</v>
      </c>
      <c r="C191" s="15"/>
      <c r="D191" s="5"/>
    </row>
  </sheetData>
  <hyperlinks>
    <hyperlink ref="B189" r:id="rId1" xr:uid="{380727F1-1E90-154E-9CBD-B42B2D2B76E6}"/>
  </hyperlinks>
  <pageMargins left="0.5" right="0.5" top="1.45000004768372" bottom="0.44999998807907099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Kieron Ekron</cp:lastModifiedBy>
  <cp:revision/>
  <dcterms:created xsi:type="dcterms:W3CDTF">2026-05-06T16:49:41Z</dcterms:created>
  <dcterms:modified xsi:type="dcterms:W3CDTF">2026-05-15T07:02:38Z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22.1.3.0</vt:lpwstr>
  </property>
</Properties>
</file>